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Ocean Waste Data" sheetId="1" state="visible" r:id="rId3"/>
    <sheet name="Visualizations" sheetId="2" state="visible" r:id="rId4"/>
    <sheet name="Summary Statistics" sheetId="3" state="visible" r:id="rId5"/>
    <sheet name="Decade Analysis" sheetId="4" state="visible" r:id="rId6"/>
    <sheet name="Key Findings" sheetId="5" state="visible" r:id="rId7"/>
  </sheets>
  <definedNames>
    <definedName function="false" hidden="true" localSheetId="0" name="_xlnm._FilterDatabase" vbProcedure="false">'Cleaned Ocean Waste Data'!$A$1:$P$128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<sst xmlns="http://schemas.openxmlformats.org/spreadsheetml/2006/main" count="93" uniqueCount="82">
  <si>
    <t xml:space="preserve">Year</t>
  </si>
  <si>
    <t xml:space="preserve">Plastic Waste (MT)</t>
  </si>
  <si>
    <t xml:space="preserve">Fishing Waste (MT)</t>
  </si>
  <si>
    <t xml:space="preserve">Other Waste (MT)</t>
  </si>
  <si>
    <t xml:space="preserve">Waste Collected (MT)</t>
  </si>
  <si>
    <t xml:space="preserve">Waste Recycled (MT)</t>
  </si>
  <si>
    <t xml:space="preserve">Ocean Waste (MT)</t>
  </si>
  <si>
    <t xml:space="preserve">Management Efficiency (%)</t>
  </si>
  <si>
    <t xml:space="preserve">Total Waste Generated (MT)</t>
  </si>
  <si>
    <t xml:space="preserve">Expected Ocean Waste (MT)</t>
  </si>
  <si>
    <t xml:space="preserve">Reporting Gap (MT)</t>
  </si>
  <si>
    <t xml:space="preserve">Collection Rate (%)</t>
  </si>
  <si>
    <t xml:space="preserve">Recycling Rate (% of Collected)</t>
  </si>
  <si>
    <t xml:space="preserve">Ocean Waste YoY Change (%)</t>
  </si>
  <si>
    <t xml:space="preserve">Plastic Share of Generated (%)</t>
  </si>
  <si>
    <t xml:space="preserve">Era</t>
  </si>
  <si>
    <t xml:space="preserve">Ocean Waste Data - Visualizations (1900-2026)</t>
  </si>
  <si>
    <t xml:space="preserve">All charts are linked to the data sheet and update automatically if the data changes.</t>
  </si>
  <si>
    <t xml:space="preserve">Summary Statistics (1900-2026)</t>
  </si>
  <si>
    <t xml:space="preserve">Metric</t>
  </si>
  <si>
    <t xml:space="preserve">Mean</t>
  </si>
  <si>
    <t xml:space="preserve">Median</t>
  </si>
  <si>
    <t xml:space="preserve">Std Dev</t>
  </si>
  <si>
    <t xml:space="preserve">Min</t>
  </si>
  <si>
    <t xml:space="preserve">Max</t>
  </si>
  <si>
    <t xml:space="preserve">Peak Year</t>
  </si>
  <si>
    <t xml:space="preserve">Total 1900-2026</t>
  </si>
  <si>
    <t xml:space="preserve">Corr. with Ocean Waste</t>
  </si>
  <si>
    <t xml:space="preserve">n/a</t>
  </si>
  <si>
    <t xml:space="preserve">Decade-wise Averages</t>
  </si>
  <si>
    <t xml:space="preserve">Decade</t>
  </si>
  <si>
    <t xml:space="preserve">Years in Data</t>
  </si>
  <si>
    <t xml:space="preserve">Avg Plastic (MT)</t>
  </si>
  <si>
    <t xml:space="preserve">Avg Fishing (MT)</t>
  </si>
  <si>
    <t xml:space="preserve">Avg Other (MT)</t>
  </si>
  <si>
    <t xml:space="preserve">Avg Collected (MT)</t>
  </si>
  <si>
    <t xml:space="preserve">Avg Recycled (MT)</t>
  </si>
  <si>
    <t xml:space="preserve">Avg Ocean Waste (MT)</t>
  </si>
  <si>
    <t xml:space="preserve">Avg Mgmt Efficiency (%)</t>
  </si>
  <si>
    <t xml:space="preserve">Avg Collection Rate (%)</t>
  </si>
  <si>
    <t xml:space="preserve">Ocean Waste Change vs Prev Decade (%)</t>
  </si>
  <si>
    <t xml:space="preserve">Note: the 2020s decade contains only 7 years of data (2020-2026), so its average is not directly comparable to full decades.</t>
  </si>
  <si>
    <t xml:space="preserve">Key Findings</t>
  </si>
  <si>
    <t xml:space="preserve">Value</t>
  </si>
  <si>
    <t xml:space="preserve">Comment</t>
  </si>
  <si>
    <t xml:space="preserve">Ocean waste, 1900 (MT)</t>
  </si>
  <si>
    <t xml:space="preserve">Starting point of the series</t>
  </si>
  <si>
    <t xml:space="preserve">Ocean waste, 2026 (MT)</t>
  </si>
  <si>
    <t xml:space="preserve">Latest year</t>
  </si>
  <si>
    <t xml:space="preserve">Peak ocean waste (MT)</t>
  </si>
  <si>
    <t xml:space="preserve">Highest value in series</t>
  </si>
  <si>
    <t xml:space="preserve">Peak year</t>
  </si>
  <si>
    <t xml:space="preserve">2026 dips below the 2025 peak - see data-quality note</t>
  </si>
  <si>
    <t xml:space="preserve">Plastic waste, 1950 (MT)</t>
  </si>
  <si>
    <t xml:space="preserve">Plastic effectively absent before 1950</t>
  </si>
  <si>
    <t xml:space="preserve">Plastic waste, 2026 (MT)</t>
  </si>
  <si>
    <t xml:space="preserve">Largest contributor to ocean waste</t>
  </si>
  <si>
    <t xml:space="preserve">Plastic share of generated waste, 2026 (%)</t>
  </si>
  <si>
    <t xml:space="preserve">Share of total waste generated</t>
  </si>
  <si>
    <t xml:space="preserve">Collection rate, 2026 (%)</t>
  </si>
  <si>
    <t xml:space="preserve">Waste collected / waste generated</t>
  </si>
  <si>
    <t xml:space="preserve">Recycling rate, 2026 (% of collected)</t>
  </si>
  <si>
    <t xml:space="preserve">Waste recycled / waste collected</t>
  </si>
  <si>
    <t xml:space="preserve">Mgmt efficiency, 1900 -&gt; 2026 (%)</t>
  </si>
  <si>
    <t xml:space="preserve">Management improving steadily</t>
  </si>
  <si>
    <t xml:space="preserve">Correlation: Plastic vs Ocean Waste</t>
  </si>
  <si>
    <t xml:space="preserve">Near-perfect: plastic drives the ocean waste trend</t>
  </si>
  <si>
    <t xml:space="preserve">Correlation: Mgmt Efficiency vs Ocean Waste</t>
  </si>
  <si>
    <t xml:space="preserve">Efficiency has risen alongside waste, not offset it</t>
  </si>
  <si>
    <t xml:space="preserve">Years with reporting gap &gt; 0.5 MT</t>
  </si>
  <si>
    <t xml:space="preserve">2022-2025: reported ocean waste higher than generated minus collected</t>
  </si>
  <si>
    <t xml:space="preserve">Analysis Summary</t>
  </si>
  <si>
    <t xml:space="preserve">1. Ocean waste grew about 160x, from 0.11 MT (1900) to about 17 MT (2025), accelerating sharply after 1960 as plastic waste entered the data.</t>
  </si>
  <si>
    <t xml:space="preserve">2. Plastic is the dominant driver: it rose from ~0 before 1950 to 16 MT by 2026 and correlates ~1.00 with ocean waste. Fishing waste (peak 1.12 MT) and other waste (peak 3.10 MT) are secondary.</t>
  </si>
  <si>
    <t xml:space="preserve">3. Management is improving but not keeping pace: efficiency rose from 1% to 40%, and collection from 0 to 3.55 MT, yet ocean waste still climbed over the same period.</t>
  </si>
  <si>
    <t xml:space="preserve">4. Recycling remains small: only ~41% of collected waste (1.47 of 3.55 MT in 2026) is recycled, and ~18% of all waste generated is collected.</t>
  </si>
  <si>
    <t xml:space="preserve">5. Growth phases: slow growth to 1950; rapid growth 1960-2000 (plastic boom); steady near-linear growth since 2000 (~0.45 MT/year added to ocean waste).</t>
  </si>
  <si>
    <t xml:space="preserve">Data-quality notes</t>
  </si>
  <si>
    <t xml:space="preserve">6. In 2022-2025 reported Ocean Waste exceeds (Plastic + Fishing + Other - Collected) by 1.0-1.4 MT; every other year matches within 0.02 MT. Check whether these values were adjusted or mis-entered.</t>
  </si>
  <si>
    <t xml:space="preserve">7. 2026 ocean waste (16.67) drops below 2025 (17.64) and matches the formula exactly, so the 2022-2025 values and 2026 follow different logic. 2026 may be a projection.</t>
  </si>
  <si>
    <t xml:space="preserve">8. Data has no missing values or duplicate years (1900-2026, 127 consecutive rows). Management Efficiency is a rising index and does not equal Collected / Generated (see Collection Rate column).</t>
  </si>
  <si>
    <t xml:space="preserve">Derived columns I-P on the data sheet are formulas; the original columns A-H are unchanged.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</si>
</sst>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6"/>
      <color rgb="FF1F4E78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name val="Calibri"/>
      <family val="0"/>
      <charset val="1"/>
    </font>
    <font>
      <i val="true"/>
      <sz val="1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Ocean Waste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'Cleaned Ocean Waste Data'!G1</c:f>
              <c:strCache>
                <c:ptCount val="1"/>
                <c:pt idx="0">
                  <c:v>Ocean Waste (MT)</c:v>
                </c:pt>
              </c:strCache>
            </c:strRef>
          </c:tx>
          <c:spPr>
            <a:solidFill>
              <a:srgbClr val="1f4e78"/>
            </a:solidFill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Data'!$G$2:$G$128</c:f>
              <c:numCache>
                <c:formatCode>General</c:formatCode>
                <c:ptCount val="127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0.12</c:v>
                </c:pt>
                <c:pt idx="4">
                  <c:v>0.13</c:v>
                </c:pt>
                <c:pt idx="5">
                  <c:v>0.15</c:v>
                </c:pt>
                <c:pt idx="6">
                  <c:v>0.16</c:v>
                </c:pt>
                <c:pt idx="7">
                  <c:v>0.16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0.19</c:v>
                </c:pt>
                <c:pt idx="13">
                  <c:v>0.2</c:v>
                </c:pt>
                <c:pt idx="14">
                  <c:v>0.21</c:v>
                </c:pt>
                <c:pt idx="15">
                  <c:v>0.22</c:v>
                </c:pt>
                <c:pt idx="16">
                  <c:v>0.22</c:v>
                </c:pt>
                <c:pt idx="17">
                  <c:v>0.23</c:v>
                </c:pt>
                <c:pt idx="18">
                  <c:v>0.24</c:v>
                </c:pt>
                <c:pt idx="19">
                  <c:v>0.25</c:v>
                </c:pt>
                <c:pt idx="20">
                  <c:v>0.24</c:v>
                </c:pt>
                <c:pt idx="21">
                  <c:v>0.25</c:v>
                </c:pt>
                <c:pt idx="22">
                  <c:v>0.26</c:v>
                </c:pt>
                <c:pt idx="23">
                  <c:v>0.27</c:v>
                </c:pt>
                <c:pt idx="24">
                  <c:v>0.28</c:v>
                </c:pt>
                <c:pt idx="25">
                  <c:v>0.29</c:v>
                </c:pt>
                <c:pt idx="26">
                  <c:v>0.29</c:v>
                </c:pt>
                <c:pt idx="27">
                  <c:v>0.3</c:v>
                </c:pt>
                <c:pt idx="28">
                  <c:v>0.31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0.34</c:v>
                </c:pt>
                <c:pt idx="35">
                  <c:v>0.36</c:v>
                </c:pt>
                <c:pt idx="36">
                  <c:v>0.37</c:v>
                </c:pt>
                <c:pt idx="37">
                  <c:v>0.37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0.41</c:v>
                </c:pt>
                <c:pt idx="45">
                  <c:v>0.43</c:v>
                </c:pt>
                <c:pt idx="46">
                  <c:v>0.44</c:v>
                </c:pt>
                <c:pt idx="47">
                  <c:v>0.44</c:v>
                </c:pt>
                <c:pt idx="48">
                  <c:v>0.44</c:v>
                </c:pt>
                <c:pt idx="49">
                  <c:v>0.45</c:v>
                </c:pt>
                <c:pt idx="50">
                  <c:v>0.47</c:v>
                </c:pt>
                <c:pt idx="51">
                  <c:v>0.51</c:v>
                </c:pt>
                <c:pt idx="52">
                  <c:v>0.56</c:v>
                </c:pt>
                <c:pt idx="53">
                  <c:v>0.6</c:v>
                </c:pt>
                <c:pt idx="54">
                  <c:v>0.64</c:v>
                </c:pt>
                <c:pt idx="55">
                  <c:v>0.69</c:v>
                </c:pt>
                <c:pt idx="56">
                  <c:v>0.74</c:v>
                </c:pt>
                <c:pt idx="57">
                  <c:v>0.78</c:v>
                </c:pt>
                <c:pt idx="58">
                  <c:v>0.83</c:v>
                </c:pt>
                <c:pt idx="59">
                  <c:v>0.88</c:v>
                </c:pt>
                <c:pt idx="60">
                  <c:v>0.91</c:v>
                </c:pt>
                <c:pt idx="61">
                  <c:v>0.95</c:v>
                </c:pt>
                <c:pt idx="62">
                  <c:v>1</c:v>
                </c:pt>
                <c:pt idx="63">
                  <c:v>1.05</c:v>
                </c:pt>
                <c:pt idx="64">
                  <c:v>1.09</c:v>
                </c:pt>
                <c:pt idx="65">
                  <c:v>1.13</c:v>
                </c:pt>
                <c:pt idx="66">
                  <c:v>1.18</c:v>
                </c:pt>
                <c:pt idx="67">
                  <c:v>1.23</c:v>
                </c:pt>
                <c:pt idx="68">
                  <c:v>1.28</c:v>
                </c:pt>
                <c:pt idx="69">
                  <c:v>1.31</c:v>
                </c:pt>
                <c:pt idx="70">
                  <c:v>1.36</c:v>
                </c:pt>
                <c:pt idx="71">
                  <c:v>1.4</c:v>
                </c:pt>
                <c:pt idx="72">
                  <c:v>1.45</c:v>
                </c:pt>
                <c:pt idx="73">
                  <c:v>1.48</c:v>
                </c:pt>
                <c:pt idx="74">
                  <c:v>1.53</c:v>
                </c:pt>
                <c:pt idx="75">
                  <c:v>1.59</c:v>
                </c:pt>
                <c:pt idx="76">
                  <c:v>1.64</c:v>
                </c:pt>
                <c:pt idx="77">
                  <c:v>1.66</c:v>
                </c:pt>
                <c:pt idx="78">
                  <c:v>1.71</c:v>
                </c:pt>
                <c:pt idx="79">
                  <c:v>1.76</c:v>
                </c:pt>
                <c:pt idx="80">
                  <c:v>1.9</c:v>
                </c:pt>
                <c:pt idx="81">
                  <c:v>2.12</c:v>
                </c:pt>
                <c:pt idx="82">
                  <c:v>2.33</c:v>
                </c:pt>
                <c:pt idx="83">
                  <c:v>2.55</c:v>
                </c:pt>
                <c:pt idx="84">
                  <c:v>2.77</c:v>
                </c:pt>
                <c:pt idx="85">
                  <c:v>2.99</c:v>
                </c:pt>
                <c:pt idx="86">
                  <c:v>3.2</c:v>
                </c:pt>
                <c:pt idx="87">
                  <c:v>3.42</c:v>
                </c:pt>
                <c:pt idx="88">
                  <c:v>3.64</c:v>
                </c:pt>
                <c:pt idx="89">
                  <c:v>3.86</c:v>
                </c:pt>
                <c:pt idx="90">
                  <c:v>4.08</c:v>
                </c:pt>
                <c:pt idx="91">
                  <c:v>4.29</c:v>
                </c:pt>
                <c:pt idx="92">
                  <c:v>4.51</c:v>
                </c:pt>
                <c:pt idx="93">
                  <c:v>4.73</c:v>
                </c:pt>
                <c:pt idx="94">
                  <c:v>4.95</c:v>
                </c:pt>
                <c:pt idx="95">
                  <c:v>5.16</c:v>
                </c:pt>
                <c:pt idx="96">
                  <c:v>5.38</c:v>
                </c:pt>
                <c:pt idx="97">
                  <c:v>5.6</c:v>
                </c:pt>
                <c:pt idx="98">
                  <c:v>5.82</c:v>
                </c:pt>
                <c:pt idx="99">
                  <c:v>6.03</c:v>
                </c:pt>
                <c:pt idx="100">
                  <c:v>6.25</c:v>
                </c:pt>
                <c:pt idx="101">
                  <c:v>6.47</c:v>
                </c:pt>
                <c:pt idx="102">
                  <c:v>6.78</c:v>
                </c:pt>
                <c:pt idx="103">
                  <c:v>7</c:v>
                </c:pt>
                <c:pt idx="104">
                  <c:v>7.28</c:v>
                </c:pt>
                <c:pt idx="105">
                  <c:v>7.62</c:v>
                </c:pt>
                <c:pt idx="106">
                  <c:v>7.93</c:v>
                </c:pt>
                <c:pt idx="107">
                  <c:v>8.23</c:v>
                </c:pt>
                <c:pt idx="108">
                  <c:v>8.63</c:v>
                </c:pt>
                <c:pt idx="109">
                  <c:v>8.92</c:v>
                </c:pt>
                <c:pt idx="110">
                  <c:v>9.32</c:v>
                </c:pt>
                <c:pt idx="111">
                  <c:v>9.71</c:v>
                </c:pt>
                <c:pt idx="112">
                  <c:v>10.1</c:v>
                </c:pt>
                <c:pt idx="113">
                  <c:v>10.49</c:v>
                </c:pt>
                <c:pt idx="114">
                  <c:v>10.97</c:v>
                </c:pt>
                <c:pt idx="115">
                  <c:v>11.44</c:v>
                </c:pt>
                <c:pt idx="116">
                  <c:v>11.91</c:v>
                </c:pt>
                <c:pt idx="117">
                  <c:v>12.38</c:v>
                </c:pt>
                <c:pt idx="118">
                  <c:v>12.84</c:v>
                </c:pt>
                <c:pt idx="119">
                  <c:v>13.3</c:v>
                </c:pt>
                <c:pt idx="120">
                  <c:v>13.75</c:v>
                </c:pt>
                <c:pt idx="121">
                  <c:v>14.21</c:v>
                </c:pt>
                <c:pt idx="122">
                  <c:v>15.9</c:v>
                </c:pt>
                <c:pt idx="123">
                  <c:v>16.48</c:v>
                </c:pt>
                <c:pt idx="124">
                  <c:v>17.06</c:v>
                </c:pt>
                <c:pt idx="125">
                  <c:v>17.64</c:v>
                </c:pt>
                <c:pt idx="126">
                  <c:v>16.67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5169558"/>
        <c:axId val="17275777"/>
      </c:lineChart>
      <c:catAx>
        <c:axId val="3516955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75777"/>
        <c:crosses val="autoZero"/>
        <c:auto val="1"/>
        <c:lblAlgn val="ctr"/>
        <c:lblOffset val="100"/>
        <c:noMultiLvlLbl val="0"/>
      </c:catAx>
      <c:valAx>
        <c:axId val="17275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Waste (MT)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69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Waste Generated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cked"/>
        <c:ser>
          <c:idx val="0"/>
          <c:order val="0"/>
          <c:tx>
            <c:strRef>
              <c:f>'Cleaned Ocean Waste Data'!B1</c:f>
              <c:strCache>
                <c:ptCount val="1"/>
                <c:pt idx="0">
                  <c:v>Plastic Waste (MT)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Data'!$B$2:$B$128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0.01</c:v>
                </c:pt>
                <c:pt idx="51">
                  <c:v>0.05</c:v>
                </c:pt>
                <c:pt idx="52">
                  <c:v>0.09</c:v>
                </c:pt>
                <c:pt idx="53">
                  <c:v>0.12</c:v>
                </c:pt>
                <c:pt idx="54">
                  <c:v>0.16</c:v>
                </c:pt>
                <c:pt idx="55">
                  <c:v>0.2</c:v>
                </c:pt>
                <c:pt idx="56">
                  <c:v>0.24</c:v>
                </c:pt>
                <c:pt idx="57">
                  <c:v>0.27</c:v>
                </c:pt>
                <c:pt idx="58">
                  <c:v>0.31</c:v>
                </c:pt>
                <c:pt idx="59">
                  <c:v>0.35</c:v>
                </c:pt>
                <c:pt idx="60">
                  <c:v>0.39</c:v>
                </c:pt>
                <c:pt idx="61">
                  <c:v>0.42</c:v>
                </c:pt>
                <c:pt idx="62">
                  <c:v>0.46</c:v>
                </c:pt>
                <c:pt idx="63">
                  <c:v>0.5</c:v>
                </c:pt>
                <c:pt idx="64">
                  <c:v>0.54</c:v>
                </c:pt>
                <c:pt idx="65">
                  <c:v>0.57</c:v>
                </c:pt>
                <c:pt idx="66">
                  <c:v>0.61</c:v>
                </c:pt>
                <c:pt idx="67">
                  <c:v>0.65</c:v>
                </c:pt>
                <c:pt idx="68">
                  <c:v>0.69</c:v>
                </c:pt>
                <c:pt idx="69">
                  <c:v>0.72</c:v>
                </c:pt>
                <c:pt idx="70">
                  <c:v>0.76</c:v>
                </c:pt>
                <c:pt idx="71">
                  <c:v>0.8</c:v>
                </c:pt>
                <c:pt idx="72">
                  <c:v>0.84</c:v>
                </c:pt>
                <c:pt idx="73">
                  <c:v>0.87</c:v>
                </c:pt>
                <c:pt idx="74">
                  <c:v>0.91</c:v>
                </c:pt>
                <c:pt idx="75">
                  <c:v>0.95</c:v>
                </c:pt>
                <c:pt idx="76">
                  <c:v>0.99</c:v>
                </c:pt>
                <c:pt idx="77">
                  <c:v>1.02</c:v>
                </c:pt>
                <c:pt idx="78">
                  <c:v>1.06</c:v>
                </c:pt>
                <c:pt idx="79">
                  <c:v>1.1</c:v>
                </c:pt>
                <c:pt idx="80">
                  <c:v>1.2</c:v>
                </c:pt>
                <c:pt idx="81">
                  <c:v>1.4</c:v>
                </c:pt>
                <c:pt idx="82">
                  <c:v>1.6</c:v>
                </c:pt>
                <c:pt idx="83">
                  <c:v>1.8</c:v>
                </c:pt>
                <c:pt idx="84">
                  <c:v>2</c:v>
                </c:pt>
                <c:pt idx="85">
                  <c:v>2.2</c:v>
                </c:pt>
                <c:pt idx="86">
                  <c:v>2.4</c:v>
                </c:pt>
                <c:pt idx="87">
                  <c:v>2.6</c:v>
                </c:pt>
                <c:pt idx="88">
                  <c:v>2.8</c:v>
                </c:pt>
                <c:pt idx="89">
                  <c:v>3</c:v>
                </c:pt>
                <c:pt idx="90">
                  <c:v>3.2</c:v>
                </c:pt>
                <c:pt idx="91">
                  <c:v>3.4</c:v>
                </c:pt>
                <c:pt idx="92">
                  <c:v>3.6</c:v>
                </c:pt>
                <c:pt idx="93">
                  <c:v>3.8</c:v>
                </c:pt>
                <c:pt idx="94">
                  <c:v>4</c:v>
                </c:pt>
                <c:pt idx="95">
                  <c:v>4.2</c:v>
                </c:pt>
                <c:pt idx="96">
                  <c:v>4.4</c:v>
                </c:pt>
                <c:pt idx="97">
                  <c:v>4.6</c:v>
                </c:pt>
                <c:pt idx="98">
                  <c:v>4.8</c:v>
                </c:pt>
                <c:pt idx="99">
                  <c:v>5</c:v>
                </c:pt>
                <c:pt idx="100">
                  <c:v>5.2</c:v>
                </c:pt>
                <c:pt idx="101">
                  <c:v>5.4</c:v>
                </c:pt>
                <c:pt idx="102">
                  <c:v>5.7</c:v>
                </c:pt>
                <c:pt idx="103">
                  <c:v>5.9</c:v>
                </c:pt>
                <c:pt idx="104">
                  <c:v>6.2</c:v>
                </c:pt>
                <c:pt idx="105">
                  <c:v>6.5</c:v>
                </c:pt>
                <c:pt idx="106">
                  <c:v>6.8</c:v>
                </c:pt>
                <c:pt idx="107">
                  <c:v>7.1</c:v>
                </c:pt>
                <c:pt idx="108">
                  <c:v>7.5</c:v>
                </c:pt>
                <c:pt idx="109">
                  <c:v>7.8</c:v>
                </c:pt>
                <c:pt idx="110">
                  <c:v>8.2</c:v>
                </c:pt>
                <c:pt idx="111">
                  <c:v>8.6</c:v>
                </c:pt>
                <c:pt idx="112">
                  <c:v>9</c:v>
                </c:pt>
                <c:pt idx="113">
                  <c:v>9.4</c:v>
                </c:pt>
                <c:pt idx="114">
                  <c:v>9.9</c:v>
                </c:pt>
                <c:pt idx="115">
                  <c:v>10.4</c:v>
                </c:pt>
                <c:pt idx="116">
                  <c:v>10.9</c:v>
                </c:pt>
                <c:pt idx="117">
                  <c:v>11.4</c:v>
                </c:pt>
                <c:pt idx="118">
                  <c:v>11.9</c:v>
                </c:pt>
                <c:pt idx="119">
                  <c:v>12.4</c:v>
                </c:pt>
                <c:pt idx="120">
                  <c:v>12.9</c:v>
                </c:pt>
                <c:pt idx="121">
                  <c:v>13.4</c:v>
                </c:pt>
                <c:pt idx="122">
                  <c:v>14</c:v>
                </c:pt>
                <c:pt idx="123">
                  <c:v>14.5</c:v>
                </c:pt>
                <c:pt idx="124">
                  <c:v>15</c:v>
                </c:pt>
                <c:pt idx="125">
                  <c:v>15.5</c:v>
                </c:pt>
                <c:pt idx="126">
                  <c:v>16</c:v>
                </c:pt>
              </c:numCache>
            </c:numRef>
          </c:val>
        </c:ser>
        <c:ser>
          <c:idx val="1"/>
          <c:order val="1"/>
          <c:tx>
            <c:strRef>
              <c:f>'Cleaned Ocean Waste Data'!C1</c:f>
              <c:strCache>
                <c:ptCount val="1"/>
                <c:pt idx="0">
                  <c:v>Fishing Waste (MT)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Data'!$C$2:$C$128</c:f>
              <c:numCache>
                <c:formatCode>General</c:formatCode>
                <c:ptCount val="12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0.07</c:v>
                </c:pt>
                <c:pt idx="56">
                  <c:v>0.07</c:v>
                </c:pt>
                <c:pt idx="57">
                  <c:v>0.07</c:v>
                </c:pt>
                <c:pt idx="58">
                  <c:v>0.07</c:v>
                </c:pt>
                <c:pt idx="59">
                  <c:v>0.07</c:v>
                </c:pt>
                <c:pt idx="60">
                  <c:v>0.07</c:v>
                </c:pt>
                <c:pt idx="61">
                  <c:v>0.07</c:v>
                </c:pt>
                <c:pt idx="62">
                  <c:v>0.07</c:v>
                </c:pt>
                <c:pt idx="63">
                  <c:v>0.07</c:v>
                </c:pt>
                <c:pt idx="64">
                  <c:v>0.07</c:v>
                </c:pt>
                <c:pt idx="65">
                  <c:v>0.08</c:v>
                </c:pt>
                <c:pt idx="66">
                  <c:v>0.08</c:v>
                </c:pt>
                <c:pt idx="67">
                  <c:v>0.08</c:v>
                </c:pt>
                <c:pt idx="68">
                  <c:v>0.08</c:v>
                </c:pt>
                <c:pt idx="69">
                  <c:v>0.08</c:v>
                </c:pt>
                <c:pt idx="70">
                  <c:v>0.08</c:v>
                </c:pt>
                <c:pt idx="71">
                  <c:v>0.08</c:v>
                </c:pt>
                <c:pt idx="72">
                  <c:v>0.08</c:v>
                </c:pt>
                <c:pt idx="73">
                  <c:v>0.08</c:v>
                </c:pt>
                <c:pt idx="74">
                  <c:v>0.08</c:v>
                </c:pt>
                <c:pt idx="75">
                  <c:v>0.09</c:v>
                </c:pt>
                <c:pt idx="76">
                  <c:v>0.09</c:v>
                </c:pt>
                <c:pt idx="77">
                  <c:v>0.09</c:v>
                </c:pt>
                <c:pt idx="78">
                  <c:v>0.09</c:v>
                </c:pt>
                <c:pt idx="79">
                  <c:v>0.09</c:v>
                </c:pt>
                <c:pt idx="80">
                  <c:v>0.1</c:v>
                </c:pt>
                <c:pt idx="81">
                  <c:v>0.12</c:v>
                </c:pt>
                <c:pt idx="82">
                  <c:v>0.13</c:v>
                </c:pt>
                <c:pt idx="83">
                  <c:v>0.15</c:v>
                </c:pt>
                <c:pt idx="84">
                  <c:v>0.17</c:v>
                </c:pt>
                <c:pt idx="85">
                  <c:v>0.19</c:v>
                </c:pt>
                <c:pt idx="86">
                  <c:v>0.2</c:v>
                </c:pt>
                <c:pt idx="87">
                  <c:v>0.22</c:v>
                </c:pt>
                <c:pt idx="88">
                  <c:v>0.24</c:v>
                </c:pt>
                <c:pt idx="89">
                  <c:v>0.26</c:v>
                </c:pt>
                <c:pt idx="90">
                  <c:v>0.28</c:v>
                </c:pt>
                <c:pt idx="91">
                  <c:v>0.29</c:v>
                </c:pt>
                <c:pt idx="92">
                  <c:v>0.31</c:v>
                </c:pt>
                <c:pt idx="93">
                  <c:v>0.33</c:v>
                </c:pt>
                <c:pt idx="94">
                  <c:v>0.35</c:v>
                </c:pt>
                <c:pt idx="95">
                  <c:v>0.36</c:v>
                </c:pt>
                <c:pt idx="96">
                  <c:v>0.38</c:v>
                </c:pt>
                <c:pt idx="97">
                  <c:v>0.4</c:v>
                </c:pt>
                <c:pt idx="98">
                  <c:v>0.42</c:v>
                </c:pt>
                <c:pt idx="99">
                  <c:v>0.43</c:v>
                </c:pt>
                <c:pt idx="100">
                  <c:v>0.45</c:v>
                </c:pt>
                <c:pt idx="101">
                  <c:v>0.46</c:v>
                </c:pt>
                <c:pt idx="102">
                  <c:v>0.48</c:v>
                </c:pt>
                <c:pt idx="103">
                  <c:v>0.5</c:v>
                </c:pt>
                <c:pt idx="104">
                  <c:v>0.52</c:v>
                </c:pt>
                <c:pt idx="105">
                  <c:v>0.55</c:v>
                </c:pt>
                <c:pt idx="106">
                  <c:v>0.58</c:v>
                </c:pt>
                <c:pt idx="107">
                  <c:v>0.6</c:v>
                </c:pt>
                <c:pt idx="108">
                  <c:v>0.63</c:v>
                </c:pt>
                <c:pt idx="109">
                  <c:v>0.65</c:v>
                </c:pt>
                <c:pt idx="110">
                  <c:v>0.68</c:v>
                </c:pt>
                <c:pt idx="111">
                  <c:v>0.71</c:v>
                </c:pt>
                <c:pt idx="112">
                  <c:v>0.74</c:v>
                </c:pt>
                <c:pt idx="113">
                  <c:v>0.77</c:v>
                </c:pt>
                <c:pt idx="114">
                  <c:v>0.8</c:v>
                </c:pt>
                <c:pt idx="115">
                  <c:v>0.82</c:v>
                </c:pt>
                <c:pt idx="116">
                  <c:v>0.85</c:v>
                </c:pt>
                <c:pt idx="117">
                  <c:v>0.88</c:v>
                </c:pt>
                <c:pt idx="118">
                  <c:v>0.9</c:v>
                </c:pt>
                <c:pt idx="119">
                  <c:v>0.93</c:v>
                </c:pt>
                <c:pt idx="120">
                  <c:v>0.95</c:v>
                </c:pt>
                <c:pt idx="121">
                  <c:v>0.98</c:v>
                </c:pt>
                <c:pt idx="122">
                  <c:v>1</c:v>
                </c:pt>
                <c:pt idx="123">
                  <c:v>1.03</c:v>
                </c:pt>
                <c:pt idx="124">
                  <c:v>1.06</c:v>
                </c:pt>
                <c:pt idx="125">
                  <c:v>1.09</c:v>
                </c:pt>
                <c:pt idx="126">
                  <c:v>1.12</c:v>
                </c:pt>
              </c:numCache>
            </c:numRef>
          </c:val>
        </c:ser>
        <c:ser>
          <c:idx val="2"/>
          <c:order val="2"/>
          <c:tx>
            <c:strRef>
              <c:f>'Cleaned Ocean Waste Data'!D1</c:f>
              <c:strCache>
                <c:ptCount val="1"/>
                <c:pt idx="0">
                  <c:v>Other Waste (MT)</c:v>
                </c:pt>
              </c:strCache>
            </c:strRef>
          </c:tx>
          <c:spPr>
            <a:solidFill>
              <a:srgbClr val="7f7f7f"/>
            </a:solidFill>
            <a:ln w="0">
              <a:solidFill>
                <a:srgbClr val="7f7f7f"/>
              </a:solidFill>
            </a:ln>
          </c:spP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Data'!$D$2:$D$128</c:f>
              <c:numCache>
                <c:formatCode>General</c:formatCode>
                <c:ptCount val="127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0.12</c:v>
                </c:pt>
                <c:pt idx="4">
                  <c:v>0.13</c:v>
                </c:pt>
                <c:pt idx="5">
                  <c:v>0.14</c:v>
                </c:pt>
                <c:pt idx="6">
                  <c:v>0.15</c:v>
                </c:pt>
                <c:pt idx="7">
                  <c:v>0.16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0.19</c:v>
                </c:pt>
                <c:pt idx="12">
                  <c:v>0.2</c:v>
                </c:pt>
                <c:pt idx="13">
                  <c:v>0.21</c:v>
                </c:pt>
                <c:pt idx="14">
                  <c:v>0.22</c:v>
                </c:pt>
                <c:pt idx="15">
                  <c:v>0.22</c:v>
                </c:pt>
                <c:pt idx="16">
                  <c:v>0.23</c:v>
                </c:pt>
                <c:pt idx="17">
                  <c:v>0.24</c:v>
                </c:pt>
                <c:pt idx="18">
                  <c:v>0.25</c:v>
                </c:pt>
                <c:pt idx="19">
                  <c:v>0.26</c:v>
                </c:pt>
                <c:pt idx="20">
                  <c:v>0.26</c:v>
                </c:pt>
                <c:pt idx="21">
                  <c:v>0.27</c:v>
                </c:pt>
                <c:pt idx="22">
                  <c:v>0.28</c:v>
                </c:pt>
                <c:pt idx="23">
                  <c:v>0.29</c:v>
                </c:pt>
                <c:pt idx="24">
                  <c:v>0.3</c:v>
                </c:pt>
                <c:pt idx="25">
                  <c:v>0.31</c:v>
                </c:pt>
                <c:pt idx="26">
                  <c:v>0.31</c:v>
                </c:pt>
                <c:pt idx="27">
                  <c:v>0.32</c:v>
                </c:pt>
                <c:pt idx="28">
                  <c:v>0.33</c:v>
                </c:pt>
                <c:pt idx="29">
                  <c:v>0.34</c:v>
                </c:pt>
                <c:pt idx="30">
                  <c:v>0.35</c:v>
                </c:pt>
                <c:pt idx="31">
                  <c:v>0.36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0.39</c:v>
                </c:pt>
                <c:pt idx="36">
                  <c:v>0.4</c:v>
                </c:pt>
                <c:pt idx="37">
                  <c:v>0.4</c:v>
                </c:pt>
                <c:pt idx="38">
                  <c:v>0.41</c:v>
                </c:pt>
                <c:pt idx="39">
                  <c:v>0.42</c:v>
                </c:pt>
                <c:pt idx="40">
                  <c:v>0.43</c:v>
                </c:pt>
                <c:pt idx="41">
                  <c:v>0.44</c:v>
                </c:pt>
                <c:pt idx="42">
                  <c:v>0.45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0.63</c:v>
                </c:pt>
                <c:pt idx="66">
                  <c:v>0.64</c:v>
                </c:pt>
                <c:pt idx="67">
                  <c:v>0.65</c:v>
                </c:pt>
                <c:pt idx="68">
                  <c:v>0.66</c:v>
                </c:pt>
                <c:pt idx="69">
                  <c:v>0.67</c:v>
                </c:pt>
                <c:pt idx="70">
                  <c:v>0.68</c:v>
                </c:pt>
                <c:pt idx="71">
                  <c:v>0.68</c:v>
                </c:pt>
                <c:pt idx="72">
                  <c:v>0.69</c:v>
                </c:pt>
                <c:pt idx="73">
                  <c:v>0.7</c:v>
                </c:pt>
                <c:pt idx="74">
                  <c:v>0.71</c:v>
                </c:pt>
                <c:pt idx="75">
                  <c:v>0.72</c:v>
                </c:pt>
                <c:pt idx="76">
                  <c:v>0.73</c:v>
                </c:pt>
                <c:pt idx="77">
                  <c:v>0.73</c:v>
                </c:pt>
                <c:pt idx="78">
                  <c:v>0.74</c:v>
                </c:pt>
                <c:pt idx="79">
                  <c:v>0.75</c:v>
                </c:pt>
                <c:pt idx="80">
                  <c:v>0.8</c:v>
                </c:pt>
                <c:pt idx="81">
                  <c:v>0.85</c:v>
                </c:pt>
                <c:pt idx="82">
                  <c:v>0.9</c:v>
                </c:pt>
                <c:pt idx="83">
                  <c:v>0.95</c:v>
                </c:pt>
                <c:pt idx="84">
                  <c:v>1</c:v>
                </c:pt>
                <c:pt idx="85">
                  <c:v>1.05</c:v>
                </c:pt>
                <c:pt idx="86">
                  <c:v>1.1</c:v>
                </c:pt>
                <c:pt idx="87">
                  <c:v>1.15</c:v>
                </c:pt>
                <c:pt idx="88">
                  <c:v>1.2</c:v>
                </c:pt>
                <c:pt idx="89">
                  <c:v>1.25</c:v>
                </c:pt>
                <c:pt idx="90">
                  <c:v>1.3</c:v>
                </c:pt>
                <c:pt idx="91">
                  <c:v>1.35</c:v>
                </c:pt>
                <c:pt idx="92">
                  <c:v>1.4</c:v>
                </c:pt>
                <c:pt idx="93">
                  <c:v>1.45</c:v>
                </c:pt>
                <c:pt idx="94">
                  <c:v>1.5</c:v>
                </c:pt>
                <c:pt idx="95">
                  <c:v>1.55</c:v>
                </c:pt>
                <c:pt idx="96">
                  <c:v>1.6</c:v>
                </c:pt>
                <c:pt idx="97">
                  <c:v>1.65</c:v>
                </c:pt>
                <c:pt idx="98">
                  <c:v>1.7</c:v>
                </c:pt>
                <c:pt idx="99">
                  <c:v>1.75</c:v>
                </c:pt>
                <c:pt idx="100">
                  <c:v>1.8</c:v>
                </c:pt>
                <c:pt idx="101">
                  <c:v>1.85</c:v>
                </c:pt>
                <c:pt idx="102">
                  <c:v>1.9</c:v>
                </c:pt>
                <c:pt idx="103">
                  <c:v>1.95</c:v>
                </c:pt>
                <c:pt idx="104">
                  <c:v>2</c:v>
                </c:pt>
                <c:pt idx="105">
                  <c:v>2.05</c:v>
                </c:pt>
                <c:pt idx="106">
                  <c:v>2.1</c:v>
                </c:pt>
                <c:pt idx="107">
                  <c:v>2.15</c:v>
                </c:pt>
                <c:pt idx="108">
                  <c:v>2.2</c:v>
                </c:pt>
                <c:pt idx="109">
                  <c:v>2.25</c:v>
                </c:pt>
                <c:pt idx="110">
                  <c:v>2.3</c:v>
                </c:pt>
                <c:pt idx="111">
                  <c:v>2.35</c:v>
                </c:pt>
                <c:pt idx="112">
                  <c:v>2.4</c:v>
                </c:pt>
                <c:pt idx="113">
                  <c:v>2.45</c:v>
                </c:pt>
                <c:pt idx="114">
                  <c:v>2.5</c:v>
                </c:pt>
                <c:pt idx="115">
                  <c:v>2.55</c:v>
                </c:pt>
                <c:pt idx="116">
                  <c:v>2.6</c:v>
                </c:pt>
                <c:pt idx="117">
                  <c:v>2.65</c:v>
                </c:pt>
                <c:pt idx="118">
                  <c:v>2.7</c:v>
                </c:pt>
                <c:pt idx="119">
                  <c:v>2.75</c:v>
                </c:pt>
                <c:pt idx="120">
                  <c:v>2.8</c:v>
                </c:pt>
                <c:pt idx="121">
                  <c:v>2.85</c:v>
                </c:pt>
                <c:pt idx="122">
                  <c:v>2.9</c:v>
                </c:pt>
                <c:pt idx="123">
                  <c:v>2.95</c:v>
                </c:pt>
                <c:pt idx="124">
                  <c:v>3</c:v>
                </c:pt>
                <c:pt idx="125">
                  <c:v>3.05</c:v>
                </c:pt>
                <c:pt idx="126">
                  <c:v>3.1</c:v>
                </c:pt>
              </c:numCache>
            </c:numRef>
          </c:val>
        </c:ser>
        <c:axId val="17853843"/>
        <c:axId val="94431024"/>
      </c:areaChart>
      <c:catAx>
        <c:axId val="178538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31024"/>
        <c:crosses val="autoZero"/>
        <c:auto val="1"/>
        <c:lblAlgn val="ctr"/>
        <c:lblOffset val="100"/>
        <c:noMultiLvlLbl val="0"/>
      </c:catAx>
      <c:valAx>
        <c:axId val="944310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Waste (MT)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5384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Ocean Waste vs Collected vs Recycled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'Cleaned Ocean Waste Data'!G1</c:f>
              <c:strCache>
                <c:ptCount val="1"/>
                <c:pt idx="0">
                  <c:v>Ocean Waste (MT)</c:v>
                </c:pt>
              </c:strCache>
            </c:strRef>
          </c:tx>
          <c:spPr>
            <a:solidFill>
              <a:srgbClr val="1f4e78"/>
            </a:solidFill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Data'!$G$2:$G$128</c:f>
              <c:numCache>
                <c:formatCode>General</c:formatCode>
                <c:ptCount val="127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0.12</c:v>
                </c:pt>
                <c:pt idx="4">
                  <c:v>0.13</c:v>
                </c:pt>
                <c:pt idx="5">
                  <c:v>0.15</c:v>
                </c:pt>
                <c:pt idx="6">
                  <c:v>0.16</c:v>
                </c:pt>
                <c:pt idx="7">
                  <c:v>0.16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0.19</c:v>
                </c:pt>
                <c:pt idx="13">
                  <c:v>0.2</c:v>
                </c:pt>
                <c:pt idx="14">
                  <c:v>0.21</c:v>
                </c:pt>
                <c:pt idx="15">
                  <c:v>0.22</c:v>
                </c:pt>
                <c:pt idx="16">
                  <c:v>0.22</c:v>
                </c:pt>
                <c:pt idx="17">
                  <c:v>0.23</c:v>
                </c:pt>
                <c:pt idx="18">
                  <c:v>0.24</c:v>
                </c:pt>
                <c:pt idx="19">
                  <c:v>0.25</c:v>
                </c:pt>
                <c:pt idx="20">
                  <c:v>0.24</c:v>
                </c:pt>
                <c:pt idx="21">
                  <c:v>0.25</c:v>
                </c:pt>
                <c:pt idx="22">
                  <c:v>0.26</c:v>
                </c:pt>
                <c:pt idx="23">
                  <c:v>0.27</c:v>
                </c:pt>
                <c:pt idx="24">
                  <c:v>0.28</c:v>
                </c:pt>
                <c:pt idx="25">
                  <c:v>0.29</c:v>
                </c:pt>
                <c:pt idx="26">
                  <c:v>0.29</c:v>
                </c:pt>
                <c:pt idx="27">
                  <c:v>0.3</c:v>
                </c:pt>
                <c:pt idx="28">
                  <c:v>0.31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0.34</c:v>
                </c:pt>
                <c:pt idx="35">
                  <c:v>0.36</c:v>
                </c:pt>
                <c:pt idx="36">
                  <c:v>0.37</c:v>
                </c:pt>
                <c:pt idx="37">
                  <c:v>0.37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0.41</c:v>
                </c:pt>
                <c:pt idx="45">
                  <c:v>0.43</c:v>
                </c:pt>
                <c:pt idx="46">
                  <c:v>0.44</c:v>
                </c:pt>
                <c:pt idx="47">
                  <c:v>0.44</c:v>
                </c:pt>
                <c:pt idx="48">
                  <c:v>0.44</c:v>
                </c:pt>
                <c:pt idx="49">
                  <c:v>0.45</c:v>
                </c:pt>
                <c:pt idx="50">
                  <c:v>0.47</c:v>
                </c:pt>
                <c:pt idx="51">
                  <c:v>0.51</c:v>
                </c:pt>
                <c:pt idx="52">
                  <c:v>0.56</c:v>
                </c:pt>
                <c:pt idx="53">
                  <c:v>0.6</c:v>
                </c:pt>
                <c:pt idx="54">
                  <c:v>0.64</c:v>
                </c:pt>
                <c:pt idx="55">
                  <c:v>0.69</c:v>
                </c:pt>
                <c:pt idx="56">
                  <c:v>0.74</c:v>
                </c:pt>
                <c:pt idx="57">
                  <c:v>0.78</c:v>
                </c:pt>
                <c:pt idx="58">
                  <c:v>0.83</c:v>
                </c:pt>
                <c:pt idx="59">
                  <c:v>0.88</c:v>
                </c:pt>
                <c:pt idx="60">
                  <c:v>0.91</c:v>
                </c:pt>
                <c:pt idx="61">
                  <c:v>0.95</c:v>
                </c:pt>
                <c:pt idx="62">
                  <c:v>1</c:v>
                </c:pt>
                <c:pt idx="63">
                  <c:v>1.05</c:v>
                </c:pt>
                <c:pt idx="64">
                  <c:v>1.09</c:v>
                </c:pt>
                <c:pt idx="65">
                  <c:v>1.13</c:v>
                </c:pt>
                <c:pt idx="66">
                  <c:v>1.18</c:v>
                </c:pt>
                <c:pt idx="67">
                  <c:v>1.23</c:v>
                </c:pt>
                <c:pt idx="68">
                  <c:v>1.28</c:v>
                </c:pt>
                <c:pt idx="69">
                  <c:v>1.31</c:v>
                </c:pt>
                <c:pt idx="70">
                  <c:v>1.36</c:v>
                </c:pt>
                <c:pt idx="71">
                  <c:v>1.4</c:v>
                </c:pt>
                <c:pt idx="72">
                  <c:v>1.45</c:v>
                </c:pt>
                <c:pt idx="73">
                  <c:v>1.48</c:v>
                </c:pt>
                <c:pt idx="74">
                  <c:v>1.53</c:v>
                </c:pt>
                <c:pt idx="75">
                  <c:v>1.59</c:v>
                </c:pt>
                <c:pt idx="76">
                  <c:v>1.64</c:v>
                </c:pt>
                <c:pt idx="77">
                  <c:v>1.66</c:v>
                </c:pt>
                <c:pt idx="78">
                  <c:v>1.71</c:v>
                </c:pt>
                <c:pt idx="79">
                  <c:v>1.76</c:v>
                </c:pt>
                <c:pt idx="80">
                  <c:v>1.9</c:v>
                </c:pt>
                <c:pt idx="81">
                  <c:v>2.12</c:v>
                </c:pt>
                <c:pt idx="82">
                  <c:v>2.33</c:v>
                </c:pt>
                <c:pt idx="83">
                  <c:v>2.55</c:v>
                </c:pt>
                <c:pt idx="84">
                  <c:v>2.77</c:v>
                </c:pt>
                <c:pt idx="85">
                  <c:v>2.99</c:v>
                </c:pt>
                <c:pt idx="86">
                  <c:v>3.2</c:v>
                </c:pt>
                <c:pt idx="87">
                  <c:v>3.42</c:v>
                </c:pt>
                <c:pt idx="88">
                  <c:v>3.64</c:v>
                </c:pt>
                <c:pt idx="89">
                  <c:v>3.86</c:v>
                </c:pt>
                <c:pt idx="90">
                  <c:v>4.08</c:v>
                </c:pt>
                <c:pt idx="91">
                  <c:v>4.29</c:v>
                </c:pt>
                <c:pt idx="92">
                  <c:v>4.51</c:v>
                </c:pt>
                <c:pt idx="93">
                  <c:v>4.73</c:v>
                </c:pt>
                <c:pt idx="94">
                  <c:v>4.95</c:v>
                </c:pt>
                <c:pt idx="95">
                  <c:v>5.16</c:v>
                </c:pt>
                <c:pt idx="96">
                  <c:v>5.38</c:v>
                </c:pt>
                <c:pt idx="97">
                  <c:v>5.6</c:v>
                </c:pt>
                <c:pt idx="98">
                  <c:v>5.82</c:v>
                </c:pt>
                <c:pt idx="99">
                  <c:v>6.03</c:v>
                </c:pt>
                <c:pt idx="100">
                  <c:v>6.25</c:v>
                </c:pt>
                <c:pt idx="101">
                  <c:v>6.47</c:v>
                </c:pt>
                <c:pt idx="102">
                  <c:v>6.78</c:v>
                </c:pt>
                <c:pt idx="103">
                  <c:v>7</c:v>
                </c:pt>
                <c:pt idx="104">
                  <c:v>7.28</c:v>
                </c:pt>
                <c:pt idx="105">
                  <c:v>7.62</c:v>
                </c:pt>
                <c:pt idx="106">
                  <c:v>7.93</c:v>
                </c:pt>
                <c:pt idx="107">
                  <c:v>8.23</c:v>
                </c:pt>
                <c:pt idx="108">
                  <c:v>8.63</c:v>
                </c:pt>
                <c:pt idx="109">
                  <c:v>8.92</c:v>
                </c:pt>
                <c:pt idx="110">
                  <c:v>9.32</c:v>
                </c:pt>
                <c:pt idx="111">
                  <c:v>9.71</c:v>
                </c:pt>
                <c:pt idx="112">
                  <c:v>10.1</c:v>
                </c:pt>
                <c:pt idx="113">
                  <c:v>10.49</c:v>
                </c:pt>
                <c:pt idx="114">
                  <c:v>10.97</c:v>
                </c:pt>
                <c:pt idx="115">
                  <c:v>11.44</c:v>
                </c:pt>
                <c:pt idx="116">
                  <c:v>11.91</c:v>
                </c:pt>
                <c:pt idx="117">
                  <c:v>12.38</c:v>
                </c:pt>
                <c:pt idx="118">
                  <c:v>12.84</c:v>
                </c:pt>
                <c:pt idx="119">
                  <c:v>13.3</c:v>
                </c:pt>
                <c:pt idx="120">
                  <c:v>13.75</c:v>
                </c:pt>
                <c:pt idx="121">
                  <c:v>14.21</c:v>
                </c:pt>
                <c:pt idx="122">
                  <c:v>15.9</c:v>
                </c:pt>
                <c:pt idx="123">
                  <c:v>16.48</c:v>
                </c:pt>
                <c:pt idx="124">
                  <c:v>17.06</c:v>
                </c:pt>
                <c:pt idx="125">
                  <c:v>17.64</c:v>
                </c:pt>
                <c:pt idx="126">
                  <c:v>16.67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'Cleaned Ocean Waste Data'!E1</c:f>
              <c:strCache>
                <c:ptCount val="1"/>
                <c:pt idx="0">
                  <c:v>Waste Collected (MT)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Data'!$E$2:$E$128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0.07</c:v>
                </c:pt>
                <c:pt idx="30">
                  <c:v>0.07</c:v>
                </c:pt>
                <c:pt idx="31">
                  <c:v>0.07</c:v>
                </c:pt>
                <c:pt idx="32">
                  <c:v>0.07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0.14</c:v>
                </c:pt>
                <c:pt idx="61">
                  <c:v>0.14</c:v>
                </c:pt>
                <c:pt idx="62">
                  <c:v>0.14</c:v>
                </c:pt>
                <c:pt idx="63">
                  <c:v>0.14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0.16</c:v>
                </c:pt>
                <c:pt idx="70">
                  <c:v>0.16</c:v>
                </c:pt>
                <c:pt idx="71">
                  <c:v>0.16</c:v>
                </c:pt>
                <c:pt idx="72">
                  <c:v>0.16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</c:v>
                </c:pt>
                <c:pt idx="77">
                  <c:v>0.18</c:v>
                </c:pt>
                <c:pt idx="78">
                  <c:v>0.18</c:v>
                </c:pt>
                <c:pt idx="79">
                  <c:v>0.18</c:v>
                </c:pt>
                <c:pt idx="80">
                  <c:v>0.2</c:v>
                </c:pt>
                <c:pt idx="81">
                  <c:v>0.25</c:v>
                </c:pt>
                <c:pt idx="82">
                  <c:v>0.3</c:v>
                </c:pt>
                <c:pt idx="83">
                  <c:v>0.35</c:v>
                </c:pt>
                <c:pt idx="84">
                  <c:v>0.4</c:v>
                </c:pt>
                <c:pt idx="85">
                  <c:v>0.45</c:v>
                </c:pt>
                <c:pt idx="86">
                  <c:v>0.5</c:v>
                </c:pt>
                <c:pt idx="87">
                  <c:v>0.55</c:v>
                </c:pt>
                <c:pt idx="88">
                  <c:v>0.6</c:v>
                </c:pt>
                <c:pt idx="89">
                  <c:v>0.65</c:v>
                </c:pt>
                <c:pt idx="90">
                  <c:v>0.7</c:v>
                </c:pt>
                <c:pt idx="91">
                  <c:v>0.75</c:v>
                </c:pt>
                <c:pt idx="92">
                  <c:v>0.8</c:v>
                </c:pt>
                <c:pt idx="93">
                  <c:v>0.85</c:v>
                </c:pt>
                <c:pt idx="94">
                  <c:v>0.9</c:v>
                </c:pt>
                <c:pt idx="95">
                  <c:v>0.95</c:v>
                </c:pt>
                <c:pt idx="96">
                  <c:v>1</c:v>
                </c:pt>
                <c:pt idx="97">
                  <c:v>1.05</c:v>
                </c:pt>
                <c:pt idx="98">
                  <c:v>1.1</c:v>
                </c:pt>
                <c:pt idx="99">
                  <c:v>1.15</c:v>
                </c:pt>
                <c:pt idx="100">
                  <c:v>1.2</c:v>
                </c:pt>
                <c:pt idx="101">
                  <c:v>1.25</c:v>
                </c:pt>
                <c:pt idx="102">
                  <c:v>1.3</c:v>
                </c:pt>
                <c:pt idx="103">
                  <c:v>1.36</c:v>
                </c:pt>
                <c:pt idx="104">
                  <c:v>1.42</c:v>
                </c:pt>
                <c:pt idx="105">
                  <c:v>1.48</c:v>
                </c:pt>
                <c:pt idx="106">
                  <c:v>1.55</c:v>
                </c:pt>
                <c:pt idx="107">
                  <c:v>1.62</c:v>
                </c:pt>
                <c:pt idx="108">
                  <c:v>1.7</c:v>
                </c:pt>
                <c:pt idx="109">
                  <c:v>1.78</c:v>
                </c:pt>
                <c:pt idx="110">
                  <c:v>1.86</c:v>
                </c:pt>
                <c:pt idx="111">
                  <c:v>1.95</c:v>
                </c:pt>
                <c:pt idx="112">
                  <c:v>2.04</c:v>
                </c:pt>
                <c:pt idx="113">
                  <c:v>2.13</c:v>
                </c:pt>
                <c:pt idx="114">
                  <c:v>2.23</c:v>
                </c:pt>
                <c:pt idx="115">
                  <c:v>2.33</c:v>
                </c:pt>
                <c:pt idx="116">
                  <c:v>2.44</c:v>
                </c:pt>
                <c:pt idx="117">
                  <c:v>2.55</c:v>
                </c:pt>
                <c:pt idx="118">
                  <c:v>2.66</c:v>
                </c:pt>
                <c:pt idx="119">
                  <c:v>2.78</c:v>
                </c:pt>
                <c:pt idx="120">
                  <c:v>2.9</c:v>
                </c:pt>
                <c:pt idx="121">
                  <c:v>3.02</c:v>
                </c:pt>
                <c:pt idx="122">
                  <c:v>3.03</c:v>
                </c:pt>
                <c:pt idx="123">
                  <c:v>3.15</c:v>
                </c:pt>
                <c:pt idx="124">
                  <c:v>3.28</c:v>
                </c:pt>
                <c:pt idx="125">
                  <c:v>3.41</c:v>
                </c:pt>
                <c:pt idx="126">
                  <c:v>3.55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'Cleaned Ocean Waste Data'!F1</c:f>
              <c:strCache>
                <c:ptCount val="1"/>
                <c:pt idx="0">
                  <c:v>Waste Recycled (MT)</c:v>
                </c:pt>
              </c:strCache>
            </c:strRef>
          </c:tx>
          <c:spPr>
            <a:solidFill>
              <a:srgbClr val="548235"/>
            </a:solidFill>
            <a:ln w="2196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Data'!$F$2:$F$128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0.05</c:v>
                </c:pt>
                <c:pt idx="81">
                  <c:v>0.06</c:v>
                </c:pt>
                <c:pt idx="82">
                  <c:v>0.08</c:v>
                </c:pt>
                <c:pt idx="83">
                  <c:v>0.09</c:v>
                </c:pt>
                <c:pt idx="84">
                  <c:v>0.11</c:v>
                </c:pt>
                <c:pt idx="85">
                  <c:v>0.12</c:v>
                </c:pt>
                <c:pt idx="86">
                  <c:v>0.14</c:v>
                </c:pt>
                <c:pt idx="87">
                  <c:v>0.15</c:v>
                </c:pt>
                <c:pt idx="88">
                  <c:v>0.17</c:v>
                </c:pt>
                <c:pt idx="89">
                  <c:v>0.18</c:v>
                </c:pt>
                <c:pt idx="90">
                  <c:v>0.2</c:v>
                </c:pt>
                <c:pt idx="91">
                  <c:v>0.21</c:v>
                </c:pt>
                <c:pt idx="92">
                  <c:v>0.23</c:v>
                </c:pt>
                <c:pt idx="93">
                  <c:v>0.24</c:v>
                </c:pt>
                <c:pt idx="94">
                  <c:v>0.26</c:v>
                </c:pt>
                <c:pt idx="95">
                  <c:v>0.27</c:v>
                </c:pt>
                <c:pt idx="96">
                  <c:v>0.29</c:v>
                </c:pt>
                <c:pt idx="97">
                  <c:v>0.3</c:v>
                </c:pt>
                <c:pt idx="98">
                  <c:v>0.32</c:v>
                </c:pt>
                <c:pt idx="99">
                  <c:v>0.33</c:v>
                </c:pt>
                <c:pt idx="100">
                  <c:v>0.35</c:v>
                </c:pt>
                <c:pt idx="101">
                  <c:v>0.37</c:v>
                </c:pt>
                <c:pt idx="102">
                  <c:v>0.4</c:v>
                </c:pt>
                <c:pt idx="103">
                  <c:v>0.43</c:v>
                </c:pt>
                <c:pt idx="104">
                  <c:v>0.46</c:v>
                </c:pt>
                <c:pt idx="105">
                  <c:v>0.5</c:v>
                </c:pt>
                <c:pt idx="106">
                  <c:v>0.53</c:v>
                </c:pt>
                <c:pt idx="107">
                  <c:v>0.57</c:v>
                </c:pt>
                <c:pt idx="108">
                  <c:v>0.61</c:v>
                </c:pt>
                <c:pt idx="109">
                  <c:v>0.65</c:v>
                </c:pt>
                <c:pt idx="110">
                  <c:v>0.69</c:v>
                </c:pt>
                <c:pt idx="111">
                  <c:v>0.73</c:v>
                </c:pt>
                <c:pt idx="112">
                  <c:v>0.78</c:v>
                </c:pt>
                <c:pt idx="113">
                  <c:v>0.83</c:v>
                </c:pt>
                <c:pt idx="114">
                  <c:v>0.88</c:v>
                </c:pt>
                <c:pt idx="115">
                  <c:v>0.93</c:v>
                </c:pt>
                <c:pt idx="116">
                  <c:v>0.98</c:v>
                </c:pt>
                <c:pt idx="117">
                  <c:v>1.03</c:v>
                </c:pt>
                <c:pt idx="118">
                  <c:v>1.08</c:v>
                </c:pt>
                <c:pt idx="119">
                  <c:v>1.13</c:v>
                </c:pt>
                <c:pt idx="120">
                  <c:v>1.18</c:v>
                </c:pt>
                <c:pt idx="121">
                  <c:v>1.23</c:v>
                </c:pt>
                <c:pt idx="122">
                  <c:v>1.22</c:v>
                </c:pt>
                <c:pt idx="123">
                  <c:v>1.28</c:v>
                </c:pt>
                <c:pt idx="124">
                  <c:v>1.34</c:v>
                </c:pt>
                <c:pt idx="125">
                  <c:v>1.4</c:v>
                </c:pt>
                <c:pt idx="126">
                  <c:v>1.47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047618"/>
        <c:axId val="45575442"/>
      </c:lineChart>
      <c:catAx>
        <c:axId val="530476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575442"/>
        <c:crosses val="autoZero"/>
        <c:auto val="1"/>
        <c:lblAlgn val="ctr"/>
        <c:lblOffset val="100"/>
        <c:noMultiLvlLbl val="0"/>
      </c:catAx>
      <c:valAx>
        <c:axId val="455754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Waste (MT)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476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Management Efficiency vs Collection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'Cleaned Ocean Waste Data'!H1</c:f>
              <c:strCache>
                <c:ptCount val="1"/>
                <c:pt idx="0">
                  <c:v>Management Efficiency (%)</c:v>
                </c:pt>
              </c:strCache>
            </c:strRef>
          </c:tx>
          <c:spPr>
            <a:solidFill>
              <a:srgbClr val="1f4e78"/>
            </a:solidFill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Data'!$H$2:$H$128</c:f>
              <c:numCache>
                <c:formatCode>General</c:formatCode>
                <c:ptCount val="1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13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16</c:v>
                </c:pt>
                <c:pt idx="91">
                  <c:v>17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19</c:v>
                </c:pt>
                <c:pt idx="96">
                  <c:v>20</c:v>
                </c:pt>
                <c:pt idx="97">
                  <c:v>21</c:v>
                </c:pt>
                <c:pt idx="98">
                  <c:v>21</c:v>
                </c:pt>
                <c:pt idx="99">
                  <c:v>22</c:v>
                </c:pt>
                <c:pt idx="100">
                  <c:v>23</c:v>
                </c:pt>
                <c:pt idx="101">
                  <c:v>23</c:v>
                </c:pt>
                <c:pt idx="102">
                  <c:v>24</c:v>
                </c:pt>
                <c:pt idx="103">
                  <c:v>24</c:v>
                </c:pt>
                <c:pt idx="104">
                  <c:v>25</c:v>
                </c:pt>
                <c:pt idx="105">
                  <c:v>26</c:v>
                </c:pt>
                <c:pt idx="106">
                  <c:v>27</c:v>
                </c:pt>
                <c:pt idx="107">
                  <c:v>28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30</c:v>
                </c:pt>
                <c:pt idx="112">
                  <c:v>31</c:v>
                </c:pt>
                <c:pt idx="113">
                  <c:v>32</c:v>
                </c:pt>
                <c:pt idx="114">
                  <c:v>32</c:v>
                </c:pt>
                <c:pt idx="115">
                  <c:v>33</c:v>
                </c:pt>
                <c:pt idx="116">
                  <c:v>33</c:v>
                </c:pt>
                <c:pt idx="117">
                  <c:v>34</c:v>
                </c:pt>
                <c:pt idx="118">
                  <c:v>34</c:v>
                </c:pt>
                <c:pt idx="119">
                  <c:v>35</c:v>
                </c:pt>
                <c:pt idx="120">
                  <c:v>35</c:v>
                </c:pt>
                <c:pt idx="121">
                  <c:v>36</c:v>
                </c:pt>
                <c:pt idx="122">
                  <c:v>36</c:v>
                </c:pt>
                <c:pt idx="123">
                  <c:v>37</c:v>
                </c:pt>
                <c:pt idx="124">
                  <c:v>38</c:v>
                </c:pt>
                <c:pt idx="125">
                  <c:v>39</c:v>
                </c:pt>
                <c:pt idx="126">
                  <c:v>40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'Cleaned Ocean Waste Data'!L1</c:f>
              <c:strCache>
                <c:ptCount val="1"/>
                <c:pt idx="0">
                  <c:v>Collection Rate (%)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Data'!$L$2:$L$128</c:f>
              <c:numCache>
                <c:formatCode>0.0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7.69230769230769</c:v>
                </c:pt>
                <c:pt idx="4">
                  <c:v>7.14285714285714</c:v>
                </c:pt>
                <c:pt idx="5">
                  <c:v>6.25</c:v>
                </c:pt>
                <c:pt idx="6">
                  <c:v>5.88235294117647</c:v>
                </c:pt>
                <c:pt idx="7">
                  <c:v>11.1111111111111</c:v>
                </c:pt>
                <c:pt idx="8">
                  <c:v>10.5263157894737</c:v>
                </c:pt>
                <c:pt idx="9">
                  <c:v>10.5263157894737</c:v>
                </c:pt>
                <c:pt idx="10">
                  <c:v>10</c:v>
                </c:pt>
                <c:pt idx="11">
                  <c:v>14.2857142857143</c:v>
                </c:pt>
                <c:pt idx="12">
                  <c:v>13.6363636363636</c:v>
                </c:pt>
                <c:pt idx="13">
                  <c:v>13.0434782608696</c:v>
                </c:pt>
                <c:pt idx="14">
                  <c:v>12.5</c:v>
                </c:pt>
                <c:pt idx="15">
                  <c:v>12</c:v>
                </c:pt>
                <c:pt idx="16">
                  <c:v>15.3846153846154</c:v>
                </c:pt>
                <c:pt idx="17">
                  <c:v>14.8148148148148</c:v>
                </c:pt>
                <c:pt idx="18">
                  <c:v>14.2857142857143</c:v>
                </c:pt>
                <c:pt idx="19">
                  <c:v>13.7931034482759</c:v>
                </c:pt>
                <c:pt idx="20">
                  <c:v>17.2413793103448</c:v>
                </c:pt>
                <c:pt idx="21">
                  <c:v>16.6666666666667</c:v>
                </c:pt>
                <c:pt idx="22">
                  <c:v>16.1290322580645</c:v>
                </c:pt>
                <c:pt idx="23">
                  <c:v>15.625</c:v>
                </c:pt>
                <c:pt idx="24">
                  <c:v>15.1515151515152</c:v>
                </c:pt>
                <c:pt idx="25">
                  <c:v>17.1428571428571</c:v>
                </c:pt>
                <c:pt idx="26">
                  <c:v>17.1428571428571</c:v>
                </c:pt>
                <c:pt idx="27">
                  <c:v>16.6666666666667</c:v>
                </c:pt>
                <c:pt idx="28">
                  <c:v>16.2162162162162</c:v>
                </c:pt>
                <c:pt idx="29">
                  <c:v>18.421052631579</c:v>
                </c:pt>
                <c:pt idx="30">
                  <c:v>17.948717948718</c:v>
                </c:pt>
                <c:pt idx="31">
                  <c:v>17.5</c:v>
                </c:pt>
                <c:pt idx="32">
                  <c:v>17.5</c:v>
                </c:pt>
                <c:pt idx="33">
                  <c:v>19.5121951219512</c:v>
                </c:pt>
                <c:pt idx="34">
                  <c:v>19.0476190476191</c:v>
                </c:pt>
                <c:pt idx="35">
                  <c:v>18.1818181818182</c:v>
                </c:pt>
                <c:pt idx="36">
                  <c:v>17.7777777777778</c:v>
                </c:pt>
                <c:pt idx="37">
                  <c:v>17.7777777777778</c:v>
                </c:pt>
                <c:pt idx="38">
                  <c:v>19.5652173913043</c:v>
                </c:pt>
                <c:pt idx="39">
                  <c:v>19.1489361702128</c:v>
                </c:pt>
                <c:pt idx="40">
                  <c:v>18.75</c:v>
                </c:pt>
                <c:pt idx="41">
                  <c:v>18.3673469387755</c:v>
                </c:pt>
                <c:pt idx="42">
                  <c:v>20</c:v>
                </c:pt>
                <c:pt idx="43">
                  <c:v>20</c:v>
                </c:pt>
                <c:pt idx="44">
                  <c:v>19.6078431372549</c:v>
                </c:pt>
                <c:pt idx="45">
                  <c:v>18.8679245283019</c:v>
                </c:pt>
                <c:pt idx="46">
                  <c:v>18.5185185185185</c:v>
                </c:pt>
                <c:pt idx="47">
                  <c:v>20</c:v>
                </c:pt>
                <c:pt idx="48">
                  <c:v>20</c:v>
                </c:pt>
                <c:pt idx="49">
                  <c:v>19.6428571428571</c:v>
                </c:pt>
                <c:pt idx="50">
                  <c:v>18.9655172413793</c:v>
                </c:pt>
                <c:pt idx="51">
                  <c:v>19.047619047619</c:v>
                </c:pt>
                <c:pt idx="52">
                  <c:v>17.6470588235294</c:v>
                </c:pt>
                <c:pt idx="53">
                  <c:v>16.6666666666667</c:v>
                </c:pt>
                <c:pt idx="54">
                  <c:v>15.7894736842105</c:v>
                </c:pt>
                <c:pt idx="55">
                  <c:v>15.8536585365854</c:v>
                </c:pt>
                <c:pt idx="56">
                  <c:v>14.9425287356322</c:v>
                </c:pt>
                <c:pt idx="57">
                  <c:v>14.2857142857143</c:v>
                </c:pt>
                <c:pt idx="58">
                  <c:v>13.5416666666667</c:v>
                </c:pt>
                <c:pt idx="59">
                  <c:v>12.8712871287129</c:v>
                </c:pt>
                <c:pt idx="60">
                  <c:v>13.3333333333333</c:v>
                </c:pt>
                <c:pt idx="61">
                  <c:v>12.8440366972477</c:v>
                </c:pt>
                <c:pt idx="62">
                  <c:v>12.280701754386</c:v>
                </c:pt>
                <c:pt idx="63">
                  <c:v>11.7647058823529</c:v>
                </c:pt>
                <c:pt idx="64">
                  <c:v>12.0967741935484</c:v>
                </c:pt>
                <c:pt idx="65">
                  <c:v>11.71875</c:v>
                </c:pt>
                <c:pt idx="66">
                  <c:v>11.2781954887218</c:v>
                </c:pt>
                <c:pt idx="67">
                  <c:v>10.8695652173913</c:v>
                </c:pt>
                <c:pt idx="68">
                  <c:v>10.4895104895105</c:v>
                </c:pt>
                <c:pt idx="69">
                  <c:v>10.8843537414966</c:v>
                </c:pt>
                <c:pt idx="70">
                  <c:v>10.5263157894737</c:v>
                </c:pt>
                <c:pt idx="71">
                  <c:v>10.2564102564103</c:v>
                </c:pt>
                <c:pt idx="72">
                  <c:v>9.93788819875777</c:v>
                </c:pt>
                <c:pt idx="73">
                  <c:v>10.3030303030303</c:v>
                </c:pt>
                <c:pt idx="74">
                  <c:v>10</c:v>
                </c:pt>
                <c:pt idx="75">
                  <c:v>9.65909090909091</c:v>
                </c:pt>
                <c:pt idx="76">
                  <c:v>9.39226519337017</c:v>
                </c:pt>
                <c:pt idx="77">
                  <c:v>9.78260869565217</c:v>
                </c:pt>
                <c:pt idx="78">
                  <c:v>9.52380952380952</c:v>
                </c:pt>
                <c:pt idx="79">
                  <c:v>9.27835051546392</c:v>
                </c:pt>
                <c:pt idx="80">
                  <c:v>9.52380952380952</c:v>
                </c:pt>
                <c:pt idx="81">
                  <c:v>10.5485232067511</c:v>
                </c:pt>
                <c:pt idx="82">
                  <c:v>11.4068441064639</c:v>
                </c:pt>
                <c:pt idx="83">
                  <c:v>12.0689655172414</c:v>
                </c:pt>
                <c:pt idx="84">
                  <c:v>12.6182965299685</c:v>
                </c:pt>
                <c:pt idx="85">
                  <c:v>13.0813953488372</c:v>
                </c:pt>
                <c:pt idx="86">
                  <c:v>13.5135135135135</c:v>
                </c:pt>
                <c:pt idx="87">
                  <c:v>13.8539042821159</c:v>
                </c:pt>
                <c:pt idx="88">
                  <c:v>14.1509433962264</c:v>
                </c:pt>
                <c:pt idx="89">
                  <c:v>14.4124168514412</c:v>
                </c:pt>
                <c:pt idx="90">
                  <c:v>14.6443514644351</c:v>
                </c:pt>
                <c:pt idx="91">
                  <c:v>14.8809523809524</c:v>
                </c:pt>
                <c:pt idx="92">
                  <c:v>15.0659133709981</c:v>
                </c:pt>
                <c:pt idx="93">
                  <c:v>15.2329749103943</c:v>
                </c:pt>
                <c:pt idx="94">
                  <c:v>15.3846153846154</c:v>
                </c:pt>
                <c:pt idx="95">
                  <c:v>15.5482815057283</c:v>
                </c:pt>
                <c:pt idx="96">
                  <c:v>15.6739811912226</c:v>
                </c:pt>
                <c:pt idx="97">
                  <c:v>15.7894736842105</c:v>
                </c:pt>
                <c:pt idx="98">
                  <c:v>15.8959537572254</c:v>
                </c:pt>
                <c:pt idx="99">
                  <c:v>16.016713091922</c:v>
                </c:pt>
                <c:pt idx="100">
                  <c:v>16.1073825503356</c:v>
                </c:pt>
                <c:pt idx="101">
                  <c:v>16.2127107652399</c:v>
                </c:pt>
                <c:pt idx="102">
                  <c:v>16.0891089108911</c:v>
                </c:pt>
                <c:pt idx="103">
                  <c:v>16.2874251497006</c:v>
                </c:pt>
                <c:pt idx="104">
                  <c:v>16.2844036697248</c:v>
                </c:pt>
                <c:pt idx="105">
                  <c:v>16.2637362637363</c:v>
                </c:pt>
                <c:pt idx="106">
                  <c:v>16.3502109704641</c:v>
                </c:pt>
                <c:pt idx="107">
                  <c:v>16.4467005076142</c:v>
                </c:pt>
                <c:pt idx="108">
                  <c:v>16.4569215876089</c:v>
                </c:pt>
                <c:pt idx="109">
                  <c:v>16.6355140186916</c:v>
                </c:pt>
                <c:pt idx="110">
                  <c:v>16.6368515205725</c:v>
                </c:pt>
                <c:pt idx="111">
                  <c:v>16.7238421955403</c:v>
                </c:pt>
                <c:pt idx="112">
                  <c:v>16.8039538714992</c:v>
                </c:pt>
                <c:pt idx="113">
                  <c:v>16.877971473851</c:v>
                </c:pt>
                <c:pt idx="114">
                  <c:v>16.8939393939394</c:v>
                </c:pt>
                <c:pt idx="115">
                  <c:v>16.9208424110385</c:v>
                </c:pt>
                <c:pt idx="116">
                  <c:v>17.0034843205575</c:v>
                </c:pt>
                <c:pt idx="117">
                  <c:v>17.0797052913597</c:v>
                </c:pt>
                <c:pt idx="118">
                  <c:v>17.1612903225806</c:v>
                </c:pt>
                <c:pt idx="119">
                  <c:v>17.2885572139304</c:v>
                </c:pt>
                <c:pt idx="120">
                  <c:v>17.4174174174174</c:v>
                </c:pt>
                <c:pt idx="121">
                  <c:v>17.5275681950087</c:v>
                </c:pt>
                <c:pt idx="122">
                  <c:v>16.927374301676</c:v>
                </c:pt>
                <c:pt idx="123">
                  <c:v>17.0454545454545</c:v>
                </c:pt>
                <c:pt idx="124">
                  <c:v>17.208814270724</c:v>
                </c:pt>
                <c:pt idx="125">
                  <c:v>17.3625254582485</c:v>
                </c:pt>
                <c:pt idx="126">
                  <c:v>17.5568743818002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2746228"/>
        <c:axId val="43787092"/>
      </c:lineChart>
      <c:catAx>
        <c:axId val="627462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87092"/>
        <c:crosses val="autoZero"/>
        <c:auto val="1"/>
        <c:lblAlgn val="ctr"/>
        <c:lblOffset val="100"/>
        <c:noMultiLvlLbl val="0"/>
      </c:catAx>
      <c:valAx>
        <c:axId val="43787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7462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Plastic Share of Waste Generated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'Cleaned Ocean Waste Data'!O1</c:f>
              <c:strCache>
                <c:ptCount val="1"/>
                <c:pt idx="0">
                  <c:v>Plastic Share of Generated (%)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Data'!$O$2:$O$128</c:f>
              <c:numCache>
                <c:formatCode>0.0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1.72413793103448</c:v>
                </c:pt>
                <c:pt idx="51">
                  <c:v>7.93650793650794</c:v>
                </c:pt>
                <c:pt idx="52">
                  <c:v>13.2352941176471</c:v>
                </c:pt>
                <c:pt idx="53">
                  <c:v>16.6666666666667</c:v>
                </c:pt>
                <c:pt idx="54">
                  <c:v>21.0526315789474</c:v>
                </c:pt>
                <c:pt idx="55">
                  <c:v>24.390243902439</c:v>
                </c:pt>
                <c:pt idx="56">
                  <c:v>27.5862068965517</c:v>
                </c:pt>
                <c:pt idx="57">
                  <c:v>29.6703296703297</c:v>
                </c:pt>
                <c:pt idx="58">
                  <c:v>32.2916666666667</c:v>
                </c:pt>
                <c:pt idx="59">
                  <c:v>34.6534653465347</c:v>
                </c:pt>
                <c:pt idx="60">
                  <c:v>37.1428571428571</c:v>
                </c:pt>
                <c:pt idx="61">
                  <c:v>38.5321100917431</c:v>
                </c:pt>
                <c:pt idx="62">
                  <c:v>40.3508771929825</c:v>
                </c:pt>
                <c:pt idx="63">
                  <c:v>42.0168067226891</c:v>
                </c:pt>
                <c:pt idx="64">
                  <c:v>43.5483870967742</c:v>
                </c:pt>
                <c:pt idx="65">
                  <c:v>44.53125</c:v>
                </c:pt>
                <c:pt idx="66">
                  <c:v>45.8646616541353</c:v>
                </c:pt>
                <c:pt idx="67">
                  <c:v>47.1014492753623</c:v>
                </c:pt>
                <c:pt idx="68">
                  <c:v>48.2517482517483</c:v>
                </c:pt>
                <c:pt idx="69">
                  <c:v>48.9795918367347</c:v>
                </c:pt>
                <c:pt idx="70">
                  <c:v>50</c:v>
                </c:pt>
                <c:pt idx="71">
                  <c:v>51.2820512820513</c:v>
                </c:pt>
                <c:pt idx="72">
                  <c:v>52.1739130434783</c:v>
                </c:pt>
                <c:pt idx="73">
                  <c:v>52.7272727272727</c:v>
                </c:pt>
                <c:pt idx="74">
                  <c:v>53.5294117647059</c:v>
                </c:pt>
                <c:pt idx="75">
                  <c:v>53.9772727272727</c:v>
                </c:pt>
                <c:pt idx="76">
                  <c:v>54.6961325966851</c:v>
                </c:pt>
                <c:pt idx="77">
                  <c:v>55.4347826086957</c:v>
                </c:pt>
                <c:pt idx="78">
                  <c:v>56.0846560846561</c:v>
                </c:pt>
                <c:pt idx="79">
                  <c:v>56.7010309278351</c:v>
                </c:pt>
                <c:pt idx="80">
                  <c:v>57.1428571428571</c:v>
                </c:pt>
                <c:pt idx="81">
                  <c:v>59.0717299578059</c:v>
                </c:pt>
                <c:pt idx="82">
                  <c:v>60.8365019011407</c:v>
                </c:pt>
                <c:pt idx="83">
                  <c:v>62.0689655172414</c:v>
                </c:pt>
                <c:pt idx="84">
                  <c:v>63.0914826498423</c:v>
                </c:pt>
                <c:pt idx="85">
                  <c:v>63.953488372093</c:v>
                </c:pt>
                <c:pt idx="86">
                  <c:v>64.8648648648649</c:v>
                </c:pt>
                <c:pt idx="87">
                  <c:v>65.4911838790932</c:v>
                </c:pt>
                <c:pt idx="88">
                  <c:v>66.0377358490566</c:v>
                </c:pt>
                <c:pt idx="89">
                  <c:v>66.5188470066519</c:v>
                </c:pt>
                <c:pt idx="90">
                  <c:v>66.9456066945607</c:v>
                </c:pt>
                <c:pt idx="91">
                  <c:v>67.4603174603175</c:v>
                </c:pt>
                <c:pt idx="92">
                  <c:v>67.7966101694915</c:v>
                </c:pt>
                <c:pt idx="93">
                  <c:v>68.1003584229391</c:v>
                </c:pt>
                <c:pt idx="94">
                  <c:v>68.3760683760684</c:v>
                </c:pt>
                <c:pt idx="95">
                  <c:v>68.7397708674304</c:v>
                </c:pt>
                <c:pt idx="96">
                  <c:v>68.9655172413793</c:v>
                </c:pt>
                <c:pt idx="97">
                  <c:v>69.1729323308271</c:v>
                </c:pt>
                <c:pt idx="98">
                  <c:v>69.364161849711</c:v>
                </c:pt>
                <c:pt idx="99">
                  <c:v>69.6378830083566</c:v>
                </c:pt>
                <c:pt idx="100">
                  <c:v>69.7986577181208</c:v>
                </c:pt>
                <c:pt idx="101">
                  <c:v>70.0389105058366</c:v>
                </c:pt>
                <c:pt idx="102">
                  <c:v>70.5445544554455</c:v>
                </c:pt>
                <c:pt idx="103">
                  <c:v>70.6586826347305</c:v>
                </c:pt>
                <c:pt idx="104">
                  <c:v>71.1009174311927</c:v>
                </c:pt>
                <c:pt idx="105">
                  <c:v>71.4285714285714</c:v>
                </c:pt>
                <c:pt idx="106">
                  <c:v>71.7299578059072</c:v>
                </c:pt>
                <c:pt idx="107">
                  <c:v>72.0812182741117</c:v>
                </c:pt>
                <c:pt idx="108">
                  <c:v>72.6040658276863</c:v>
                </c:pt>
                <c:pt idx="109">
                  <c:v>72.8971962616823</c:v>
                </c:pt>
                <c:pt idx="110">
                  <c:v>73.345259391771</c:v>
                </c:pt>
                <c:pt idx="111">
                  <c:v>73.7564322469983</c:v>
                </c:pt>
                <c:pt idx="112">
                  <c:v>74.1350906095552</c:v>
                </c:pt>
                <c:pt idx="113">
                  <c:v>74.4849445324881</c:v>
                </c:pt>
                <c:pt idx="114">
                  <c:v>75</c:v>
                </c:pt>
                <c:pt idx="115">
                  <c:v>75.5265068990559</c:v>
                </c:pt>
                <c:pt idx="116">
                  <c:v>75.9581881533101</c:v>
                </c:pt>
                <c:pt idx="117">
                  <c:v>76.3563295378433</c:v>
                </c:pt>
                <c:pt idx="118">
                  <c:v>76.7741935483871</c:v>
                </c:pt>
                <c:pt idx="119">
                  <c:v>77.1144278606965</c:v>
                </c:pt>
                <c:pt idx="120">
                  <c:v>77.4774774774775</c:v>
                </c:pt>
                <c:pt idx="121">
                  <c:v>77.7713290771909</c:v>
                </c:pt>
                <c:pt idx="122">
                  <c:v>78.2122905027933</c:v>
                </c:pt>
                <c:pt idx="123">
                  <c:v>78.4632034632035</c:v>
                </c:pt>
                <c:pt idx="124">
                  <c:v>78.6988457502623</c:v>
                </c:pt>
                <c:pt idx="125">
                  <c:v>78.9205702647658</c:v>
                </c:pt>
                <c:pt idx="126">
                  <c:v>79.1295746785361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661614"/>
        <c:axId val="15791910"/>
      </c:lineChart>
      <c:catAx>
        <c:axId val="31661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791910"/>
        <c:crosses val="autoZero"/>
        <c:auto val="1"/>
        <c:lblAlgn val="ctr"/>
        <c:lblOffset val="100"/>
        <c:noMultiLvlLbl val="0"/>
      </c:catAx>
      <c:valAx>
        <c:axId val="157919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Percent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616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Ocean Waste by Decade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'Decade Analysis'!H3</c:f>
              <c:strCache>
                <c:ptCount val="1"/>
                <c:pt idx="0">
                  <c:v>Avg Ocean Waste (MT)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'Decade Analysis'!$A$4:$A$16</c:f>
              <c:strCache>
                <c:ptCount val="13"/>
                <c:pt idx="0">
                  <c:v>1900</c:v>
                </c:pt>
                <c:pt idx="1">
                  <c:v>1910</c:v>
                </c:pt>
                <c:pt idx="2">
                  <c:v>1920</c:v>
                </c:pt>
                <c:pt idx="3">
                  <c:v>1930</c:v>
                </c:pt>
                <c:pt idx="4">
                  <c:v>1940</c:v>
                </c:pt>
                <c:pt idx="5">
                  <c:v>1950</c:v>
                </c:pt>
                <c:pt idx="6">
                  <c:v>1960</c:v>
                </c:pt>
                <c:pt idx="7">
                  <c:v>1970</c:v>
                </c:pt>
                <c:pt idx="8">
                  <c:v>1980</c:v>
                </c:pt>
                <c:pt idx="9">
                  <c:v>1990</c:v>
                </c:pt>
                <c:pt idx="10">
                  <c:v>2000</c:v>
                </c:pt>
                <c:pt idx="11">
                  <c:v>2010</c:v>
                </c:pt>
                <c:pt idx="12">
                  <c:v>2020</c:v>
                </c:pt>
              </c:strCache>
            </c:strRef>
          </c:cat>
          <c:val>
            <c:numRef>
              <c:f>'Decade Analysis'!$H$4:$H$16</c:f>
              <c:numCache>
                <c:formatCode>0.00</c:formatCode>
                <c:ptCount val="13"/>
                <c:pt idx="0">
                  <c:v>0.142</c:v>
                </c:pt>
                <c:pt idx="1">
                  <c:v>0.212</c:v>
                </c:pt>
                <c:pt idx="2">
                  <c:v>0.28</c:v>
                </c:pt>
                <c:pt idx="3">
                  <c:v>0.35</c:v>
                </c:pt>
                <c:pt idx="4">
                  <c:v>0.42</c:v>
                </c:pt>
                <c:pt idx="5">
                  <c:v>0.67</c:v>
                </c:pt>
                <c:pt idx="6">
                  <c:v>1.113</c:v>
                </c:pt>
                <c:pt idx="7">
                  <c:v>1.558</c:v>
                </c:pt>
                <c:pt idx="8">
                  <c:v>2.878</c:v>
                </c:pt>
                <c:pt idx="9">
                  <c:v>5.055</c:v>
                </c:pt>
                <c:pt idx="10">
                  <c:v>7.511</c:v>
                </c:pt>
                <c:pt idx="11">
                  <c:v>11.246</c:v>
                </c:pt>
                <c:pt idx="12">
                  <c:v>15.9585714285714</c:v>
                </c:pt>
              </c:numCache>
            </c:numRef>
          </c:val>
        </c:ser>
        <c:gapWidth val="150"/>
        <c:overlap val="0"/>
        <c:axId val="68378408"/>
        <c:axId val="92919748"/>
      </c:barChart>
      <c:catAx>
        <c:axId val="683784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Decade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19748"/>
        <c:crosses val="autoZero"/>
        <c:auto val="1"/>
        <c:lblAlgn val="ctr"/>
        <c:lblOffset val="100"/>
        <c:noMultiLvlLbl val="0"/>
      </c:catAx>
      <c:valAx>
        <c:axId val="929197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Waste (MT)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3784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Plastic Waste vs Ocean Waste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"Year-level observations"</c:f>
              <c:strCache>
                <c:ptCount val="1"/>
                <c:pt idx="0">
                  <c:v>Year-level observations</c:v>
                </c:pt>
              </c:strCache>
            </c:strRef>
          </c:tx>
          <c:spPr>
            <a:solidFill>
              <a:srgbClr val="1f4e78"/>
            </a:solidFill>
            <a:ln w="47520">
              <a:noFill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'Cleaned Ocean Waste Data'!$B$2:$B$128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0.01</c:v>
                </c:pt>
                <c:pt idx="51">
                  <c:v>0.05</c:v>
                </c:pt>
                <c:pt idx="52">
                  <c:v>0.09</c:v>
                </c:pt>
                <c:pt idx="53">
                  <c:v>0.12</c:v>
                </c:pt>
                <c:pt idx="54">
                  <c:v>0.16</c:v>
                </c:pt>
                <c:pt idx="55">
                  <c:v>0.2</c:v>
                </c:pt>
                <c:pt idx="56">
                  <c:v>0.24</c:v>
                </c:pt>
                <c:pt idx="57">
                  <c:v>0.27</c:v>
                </c:pt>
                <c:pt idx="58">
                  <c:v>0.31</c:v>
                </c:pt>
                <c:pt idx="59">
                  <c:v>0.35</c:v>
                </c:pt>
                <c:pt idx="60">
                  <c:v>0.39</c:v>
                </c:pt>
                <c:pt idx="61">
                  <c:v>0.42</c:v>
                </c:pt>
                <c:pt idx="62">
                  <c:v>0.46</c:v>
                </c:pt>
                <c:pt idx="63">
                  <c:v>0.5</c:v>
                </c:pt>
                <c:pt idx="64">
                  <c:v>0.54</c:v>
                </c:pt>
                <c:pt idx="65">
                  <c:v>0.57</c:v>
                </c:pt>
                <c:pt idx="66">
                  <c:v>0.61</c:v>
                </c:pt>
                <c:pt idx="67">
                  <c:v>0.65</c:v>
                </c:pt>
                <c:pt idx="68">
                  <c:v>0.69</c:v>
                </c:pt>
                <c:pt idx="69">
                  <c:v>0.72</c:v>
                </c:pt>
                <c:pt idx="70">
                  <c:v>0.76</c:v>
                </c:pt>
                <c:pt idx="71">
                  <c:v>0.8</c:v>
                </c:pt>
                <c:pt idx="72">
                  <c:v>0.84</c:v>
                </c:pt>
                <c:pt idx="73">
                  <c:v>0.87</c:v>
                </c:pt>
                <c:pt idx="74">
                  <c:v>0.91</c:v>
                </c:pt>
                <c:pt idx="75">
                  <c:v>0.95</c:v>
                </c:pt>
                <c:pt idx="76">
                  <c:v>0.99</c:v>
                </c:pt>
                <c:pt idx="77">
                  <c:v>1.02</c:v>
                </c:pt>
                <c:pt idx="78">
                  <c:v>1.06</c:v>
                </c:pt>
                <c:pt idx="79">
                  <c:v>1.1</c:v>
                </c:pt>
                <c:pt idx="80">
                  <c:v>1.2</c:v>
                </c:pt>
                <c:pt idx="81">
                  <c:v>1.4</c:v>
                </c:pt>
                <c:pt idx="82">
                  <c:v>1.6</c:v>
                </c:pt>
                <c:pt idx="83">
                  <c:v>1.8</c:v>
                </c:pt>
                <c:pt idx="84">
                  <c:v>2</c:v>
                </c:pt>
                <c:pt idx="85">
                  <c:v>2.2</c:v>
                </c:pt>
                <c:pt idx="86">
                  <c:v>2.4</c:v>
                </c:pt>
                <c:pt idx="87">
                  <c:v>2.6</c:v>
                </c:pt>
                <c:pt idx="88">
                  <c:v>2.8</c:v>
                </c:pt>
                <c:pt idx="89">
                  <c:v>3</c:v>
                </c:pt>
                <c:pt idx="90">
                  <c:v>3.2</c:v>
                </c:pt>
                <c:pt idx="91">
                  <c:v>3.4</c:v>
                </c:pt>
                <c:pt idx="92">
                  <c:v>3.6</c:v>
                </c:pt>
                <c:pt idx="93">
                  <c:v>3.8</c:v>
                </c:pt>
                <c:pt idx="94">
                  <c:v>4</c:v>
                </c:pt>
                <c:pt idx="95">
                  <c:v>4.2</c:v>
                </c:pt>
                <c:pt idx="96">
                  <c:v>4.4</c:v>
                </c:pt>
                <c:pt idx="97">
                  <c:v>4.6</c:v>
                </c:pt>
                <c:pt idx="98">
                  <c:v>4.8</c:v>
                </c:pt>
                <c:pt idx="99">
                  <c:v>5</c:v>
                </c:pt>
                <c:pt idx="100">
                  <c:v>5.2</c:v>
                </c:pt>
                <c:pt idx="101">
                  <c:v>5.4</c:v>
                </c:pt>
                <c:pt idx="102">
                  <c:v>5.7</c:v>
                </c:pt>
                <c:pt idx="103">
                  <c:v>5.9</c:v>
                </c:pt>
                <c:pt idx="104">
                  <c:v>6.2</c:v>
                </c:pt>
                <c:pt idx="105">
                  <c:v>6.5</c:v>
                </c:pt>
                <c:pt idx="106">
                  <c:v>6.8</c:v>
                </c:pt>
                <c:pt idx="107">
                  <c:v>7.1</c:v>
                </c:pt>
                <c:pt idx="108">
                  <c:v>7.5</c:v>
                </c:pt>
                <c:pt idx="109">
                  <c:v>7.8</c:v>
                </c:pt>
                <c:pt idx="110">
                  <c:v>8.2</c:v>
                </c:pt>
                <c:pt idx="111">
                  <c:v>8.6</c:v>
                </c:pt>
                <c:pt idx="112">
                  <c:v>9</c:v>
                </c:pt>
                <c:pt idx="113">
                  <c:v>9.4</c:v>
                </c:pt>
                <c:pt idx="114">
                  <c:v>9.9</c:v>
                </c:pt>
                <c:pt idx="115">
                  <c:v>10.4</c:v>
                </c:pt>
                <c:pt idx="116">
                  <c:v>10.9</c:v>
                </c:pt>
                <c:pt idx="117">
                  <c:v>11.4</c:v>
                </c:pt>
                <c:pt idx="118">
                  <c:v>11.9</c:v>
                </c:pt>
                <c:pt idx="119">
                  <c:v>12.4</c:v>
                </c:pt>
                <c:pt idx="120">
                  <c:v>12.9</c:v>
                </c:pt>
                <c:pt idx="121">
                  <c:v>13.4</c:v>
                </c:pt>
                <c:pt idx="122">
                  <c:v>14</c:v>
                </c:pt>
                <c:pt idx="123">
                  <c:v>14.5</c:v>
                </c:pt>
                <c:pt idx="124">
                  <c:v>15</c:v>
                </c:pt>
                <c:pt idx="125">
                  <c:v>15.5</c:v>
                </c:pt>
                <c:pt idx="126">
                  <c:v>16</c:v>
                </c:pt>
              </c:numCache>
            </c:numRef>
          </c:xVal>
          <c:yVal>
            <c:numRef>
              <c:f>'Cleaned Ocean Waste Data'!$G$2:$G$128</c:f>
              <c:numCache>
                <c:formatCode>General</c:formatCode>
                <c:ptCount val="127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0.12</c:v>
                </c:pt>
                <c:pt idx="4">
                  <c:v>0.13</c:v>
                </c:pt>
                <c:pt idx="5">
                  <c:v>0.15</c:v>
                </c:pt>
                <c:pt idx="6">
                  <c:v>0.16</c:v>
                </c:pt>
                <c:pt idx="7">
                  <c:v>0.16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0.19</c:v>
                </c:pt>
                <c:pt idx="13">
                  <c:v>0.2</c:v>
                </c:pt>
                <c:pt idx="14">
                  <c:v>0.21</c:v>
                </c:pt>
                <c:pt idx="15">
                  <c:v>0.22</c:v>
                </c:pt>
                <c:pt idx="16">
                  <c:v>0.22</c:v>
                </c:pt>
                <c:pt idx="17">
                  <c:v>0.23</c:v>
                </c:pt>
                <c:pt idx="18">
                  <c:v>0.24</c:v>
                </c:pt>
                <c:pt idx="19">
                  <c:v>0.25</c:v>
                </c:pt>
                <c:pt idx="20">
                  <c:v>0.24</c:v>
                </c:pt>
                <c:pt idx="21">
                  <c:v>0.25</c:v>
                </c:pt>
                <c:pt idx="22">
                  <c:v>0.26</c:v>
                </c:pt>
                <c:pt idx="23">
                  <c:v>0.27</c:v>
                </c:pt>
                <c:pt idx="24">
                  <c:v>0.28</c:v>
                </c:pt>
                <c:pt idx="25">
                  <c:v>0.29</c:v>
                </c:pt>
                <c:pt idx="26">
                  <c:v>0.29</c:v>
                </c:pt>
                <c:pt idx="27">
                  <c:v>0.3</c:v>
                </c:pt>
                <c:pt idx="28">
                  <c:v>0.31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0.34</c:v>
                </c:pt>
                <c:pt idx="35">
                  <c:v>0.36</c:v>
                </c:pt>
                <c:pt idx="36">
                  <c:v>0.37</c:v>
                </c:pt>
                <c:pt idx="37">
                  <c:v>0.37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0.41</c:v>
                </c:pt>
                <c:pt idx="45">
                  <c:v>0.43</c:v>
                </c:pt>
                <c:pt idx="46">
                  <c:v>0.44</c:v>
                </c:pt>
                <c:pt idx="47">
                  <c:v>0.44</c:v>
                </c:pt>
                <c:pt idx="48">
                  <c:v>0.44</c:v>
                </c:pt>
                <c:pt idx="49">
                  <c:v>0.45</c:v>
                </c:pt>
                <c:pt idx="50">
                  <c:v>0.47</c:v>
                </c:pt>
                <c:pt idx="51">
                  <c:v>0.51</c:v>
                </c:pt>
                <c:pt idx="52">
                  <c:v>0.56</c:v>
                </c:pt>
                <c:pt idx="53">
                  <c:v>0.6</c:v>
                </c:pt>
                <c:pt idx="54">
                  <c:v>0.64</c:v>
                </c:pt>
                <c:pt idx="55">
                  <c:v>0.69</c:v>
                </c:pt>
                <c:pt idx="56">
                  <c:v>0.74</c:v>
                </c:pt>
                <c:pt idx="57">
                  <c:v>0.78</c:v>
                </c:pt>
                <c:pt idx="58">
                  <c:v>0.83</c:v>
                </c:pt>
                <c:pt idx="59">
                  <c:v>0.88</c:v>
                </c:pt>
                <c:pt idx="60">
                  <c:v>0.91</c:v>
                </c:pt>
                <c:pt idx="61">
                  <c:v>0.95</c:v>
                </c:pt>
                <c:pt idx="62">
                  <c:v>1</c:v>
                </c:pt>
                <c:pt idx="63">
                  <c:v>1.05</c:v>
                </c:pt>
                <c:pt idx="64">
                  <c:v>1.09</c:v>
                </c:pt>
                <c:pt idx="65">
                  <c:v>1.13</c:v>
                </c:pt>
                <c:pt idx="66">
                  <c:v>1.18</c:v>
                </c:pt>
                <c:pt idx="67">
                  <c:v>1.23</c:v>
                </c:pt>
                <c:pt idx="68">
                  <c:v>1.28</c:v>
                </c:pt>
                <c:pt idx="69">
                  <c:v>1.31</c:v>
                </c:pt>
                <c:pt idx="70">
                  <c:v>1.36</c:v>
                </c:pt>
                <c:pt idx="71">
                  <c:v>1.4</c:v>
                </c:pt>
                <c:pt idx="72">
                  <c:v>1.45</c:v>
                </c:pt>
                <c:pt idx="73">
                  <c:v>1.48</c:v>
                </c:pt>
                <c:pt idx="74">
                  <c:v>1.53</c:v>
                </c:pt>
                <c:pt idx="75">
                  <c:v>1.59</c:v>
                </c:pt>
                <c:pt idx="76">
                  <c:v>1.64</c:v>
                </c:pt>
                <c:pt idx="77">
                  <c:v>1.66</c:v>
                </c:pt>
                <c:pt idx="78">
                  <c:v>1.71</c:v>
                </c:pt>
                <c:pt idx="79">
                  <c:v>1.76</c:v>
                </c:pt>
                <c:pt idx="80">
                  <c:v>1.9</c:v>
                </c:pt>
                <c:pt idx="81">
                  <c:v>2.12</c:v>
                </c:pt>
                <c:pt idx="82">
                  <c:v>2.33</c:v>
                </c:pt>
                <c:pt idx="83">
                  <c:v>2.55</c:v>
                </c:pt>
                <c:pt idx="84">
                  <c:v>2.77</c:v>
                </c:pt>
                <c:pt idx="85">
                  <c:v>2.99</c:v>
                </c:pt>
                <c:pt idx="86">
                  <c:v>3.2</c:v>
                </c:pt>
                <c:pt idx="87">
                  <c:v>3.42</c:v>
                </c:pt>
                <c:pt idx="88">
                  <c:v>3.64</c:v>
                </c:pt>
                <c:pt idx="89">
                  <c:v>3.86</c:v>
                </c:pt>
                <c:pt idx="90">
                  <c:v>4.08</c:v>
                </c:pt>
                <c:pt idx="91">
                  <c:v>4.29</c:v>
                </c:pt>
                <c:pt idx="92">
                  <c:v>4.51</c:v>
                </c:pt>
                <c:pt idx="93">
                  <c:v>4.73</c:v>
                </c:pt>
                <c:pt idx="94">
                  <c:v>4.95</c:v>
                </c:pt>
                <c:pt idx="95">
                  <c:v>5.16</c:v>
                </c:pt>
                <c:pt idx="96">
                  <c:v>5.38</c:v>
                </c:pt>
                <c:pt idx="97">
                  <c:v>5.6</c:v>
                </c:pt>
                <c:pt idx="98">
                  <c:v>5.82</c:v>
                </c:pt>
                <c:pt idx="99">
                  <c:v>6.03</c:v>
                </c:pt>
                <c:pt idx="100">
                  <c:v>6.25</c:v>
                </c:pt>
                <c:pt idx="101">
                  <c:v>6.47</c:v>
                </c:pt>
                <c:pt idx="102">
                  <c:v>6.78</c:v>
                </c:pt>
                <c:pt idx="103">
                  <c:v>7</c:v>
                </c:pt>
                <c:pt idx="104">
                  <c:v>7.28</c:v>
                </c:pt>
                <c:pt idx="105">
                  <c:v>7.62</c:v>
                </c:pt>
                <c:pt idx="106">
                  <c:v>7.93</c:v>
                </c:pt>
                <c:pt idx="107">
                  <c:v>8.23</c:v>
                </c:pt>
                <c:pt idx="108">
                  <c:v>8.63</c:v>
                </c:pt>
                <c:pt idx="109">
                  <c:v>8.92</c:v>
                </c:pt>
                <c:pt idx="110">
                  <c:v>9.32</c:v>
                </c:pt>
                <c:pt idx="111">
                  <c:v>9.71</c:v>
                </c:pt>
                <c:pt idx="112">
                  <c:v>10.1</c:v>
                </c:pt>
                <c:pt idx="113">
                  <c:v>10.49</c:v>
                </c:pt>
                <c:pt idx="114">
                  <c:v>10.97</c:v>
                </c:pt>
                <c:pt idx="115">
                  <c:v>11.44</c:v>
                </c:pt>
                <c:pt idx="116">
                  <c:v>11.91</c:v>
                </c:pt>
                <c:pt idx="117">
                  <c:v>12.38</c:v>
                </c:pt>
                <c:pt idx="118">
                  <c:v>12.84</c:v>
                </c:pt>
                <c:pt idx="119">
                  <c:v>13.3</c:v>
                </c:pt>
                <c:pt idx="120">
                  <c:v>13.75</c:v>
                </c:pt>
                <c:pt idx="121">
                  <c:v>14.21</c:v>
                </c:pt>
                <c:pt idx="122">
                  <c:v>15.9</c:v>
                </c:pt>
                <c:pt idx="123">
                  <c:v>16.48</c:v>
                </c:pt>
                <c:pt idx="124">
                  <c:v>17.06</c:v>
                </c:pt>
                <c:pt idx="125">
                  <c:v>17.64</c:v>
                </c:pt>
                <c:pt idx="126">
                  <c:v>16.67</c:v>
                </c:pt>
              </c:numCache>
            </c:numRef>
          </c:yVal>
          <c:smooth val="1"/>
        </c:ser>
        <c:axId val="91079865"/>
        <c:axId val="55466002"/>
      </c:scatterChart>
      <c:valAx>
        <c:axId val="9107986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Plastic Waste (MT)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466002"/>
        <c:crosses val="autoZero"/>
        <c:crossBetween val="midCat"/>
      </c:valAx>
      <c:valAx>
        <c:axId val="55466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Ocean Waste (MT)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7986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Reporting Gap: Reported - Expected Ocean Waste (2000-2026)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Data'!$A$102:$A$128</c:f>
              <c:strCach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  <c:pt idx="26">
                  <c:v>2026</c:v>
                </c:pt>
              </c:strCache>
            </c:strRef>
          </c:cat>
          <c:val>
            <c:numRef>
              <c:f>'Cleaned Ocean Waste Data'!$K$102:$K$128</c:f>
              <c:numCache>
                <c:formatCode>0.00</c:formatCode>
                <c:ptCount val="27"/>
                <c:pt idx="0">
                  <c:v>0</c:v>
                </c:pt>
                <c:pt idx="1">
                  <c:v>0.0099999999999989</c:v>
                </c:pt>
                <c:pt idx="2">
                  <c:v>0</c:v>
                </c:pt>
                <c:pt idx="3">
                  <c:v>0.0100000000000007</c:v>
                </c:pt>
                <c:pt idx="4">
                  <c:v>-0.0200000000000005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1.03</c:v>
                </c:pt>
                <c:pt idx="23">
                  <c:v>1.15</c:v>
                </c:pt>
                <c:pt idx="24">
                  <c:v>1.28</c:v>
                </c:pt>
                <c:pt idx="25">
                  <c:v>1.41</c:v>
                </c:pt>
                <c:pt idx="26">
                  <c:v>0</c:v>
                </c:pt>
              </c:numCache>
            </c:numRef>
          </c:val>
        </c:ser>
        <c:gapWidth val="150"/>
        <c:overlap val="0"/>
        <c:axId val="49648138"/>
        <c:axId val="21904092"/>
      </c:barChart>
      <c:catAx>
        <c:axId val="496481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904092"/>
        <c:crosses val="autoZero"/>
        <c:auto val="1"/>
        <c:lblAlgn val="ctr"/>
        <c:lblOffset val="100"/>
        <c:noMultiLvlLbl val="0"/>
      </c:catAx>
      <c:valAx>
        <c:axId val="219040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Gap (MT)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48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10</xdr:col>
      <xdr:colOff>4680</xdr:colOff>
      <xdr:row>18</xdr:row>
      <xdr:rowOff>142560</xdr:rowOff>
    </xdr:to>
    <xdr:graphicFrame>
      <xdr:nvGraphicFramePr>
        <xdr:cNvPr id="0" name="Chart 1"/>
        <xdr:cNvGraphicFramePr/>
      </xdr:nvGraphicFramePr>
      <xdr:xfrm>
        <a:off x="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</xdr:row>
      <xdr:rowOff>131040</xdr:rowOff>
    </xdr:from>
    <xdr:to>
      <xdr:col>20</xdr:col>
      <xdr:colOff>4320</xdr:colOff>
      <xdr:row>18</xdr:row>
      <xdr:rowOff>142560</xdr:rowOff>
    </xdr:to>
    <xdr:graphicFrame>
      <xdr:nvGraphicFramePr>
        <xdr:cNvPr id="1" name="Chart 2"/>
        <xdr:cNvGraphicFramePr/>
      </xdr:nvGraphicFramePr>
      <xdr:xfrm>
        <a:off x="611496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131040</xdr:rowOff>
    </xdr:from>
    <xdr:to>
      <xdr:col>10</xdr:col>
      <xdr:colOff>4680</xdr:colOff>
      <xdr:row>36</xdr:row>
      <xdr:rowOff>142560</xdr:rowOff>
    </xdr:to>
    <xdr:graphicFrame>
      <xdr:nvGraphicFramePr>
        <xdr:cNvPr id="2" name="Chart 3"/>
        <xdr:cNvGraphicFramePr/>
      </xdr:nvGraphicFramePr>
      <xdr:xfrm>
        <a:off x="0" y="4000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20</xdr:row>
      <xdr:rowOff>131040</xdr:rowOff>
    </xdr:from>
    <xdr:to>
      <xdr:col>20</xdr:col>
      <xdr:colOff>4320</xdr:colOff>
      <xdr:row>36</xdr:row>
      <xdr:rowOff>142560</xdr:rowOff>
    </xdr:to>
    <xdr:graphicFrame>
      <xdr:nvGraphicFramePr>
        <xdr:cNvPr id="3" name="Chart 4"/>
        <xdr:cNvGraphicFramePr/>
      </xdr:nvGraphicFramePr>
      <xdr:xfrm>
        <a:off x="6114960" y="4000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38</xdr:row>
      <xdr:rowOff>131040</xdr:rowOff>
    </xdr:from>
    <xdr:to>
      <xdr:col>10</xdr:col>
      <xdr:colOff>4680</xdr:colOff>
      <xdr:row>54</xdr:row>
      <xdr:rowOff>142560</xdr:rowOff>
    </xdr:to>
    <xdr:graphicFrame>
      <xdr:nvGraphicFramePr>
        <xdr:cNvPr id="4" name="Chart 5"/>
        <xdr:cNvGraphicFramePr/>
      </xdr:nvGraphicFramePr>
      <xdr:xfrm>
        <a:off x="0" y="7429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38</xdr:row>
      <xdr:rowOff>131040</xdr:rowOff>
    </xdr:from>
    <xdr:to>
      <xdr:col>20</xdr:col>
      <xdr:colOff>4320</xdr:colOff>
      <xdr:row>54</xdr:row>
      <xdr:rowOff>142560</xdr:rowOff>
    </xdr:to>
    <xdr:graphicFrame>
      <xdr:nvGraphicFramePr>
        <xdr:cNvPr id="5" name="Chart 6"/>
        <xdr:cNvGraphicFramePr/>
      </xdr:nvGraphicFramePr>
      <xdr:xfrm>
        <a:off x="6114960" y="7429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56</xdr:row>
      <xdr:rowOff>131040</xdr:rowOff>
    </xdr:from>
    <xdr:to>
      <xdr:col>10</xdr:col>
      <xdr:colOff>4680</xdr:colOff>
      <xdr:row>72</xdr:row>
      <xdr:rowOff>142560</xdr:rowOff>
    </xdr:to>
    <xdr:graphicFrame>
      <xdr:nvGraphicFramePr>
        <xdr:cNvPr id="6" name="Chart 7"/>
        <xdr:cNvGraphicFramePr/>
      </xdr:nvGraphicFramePr>
      <xdr:xfrm>
        <a:off x="0" y="10858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0</xdr:colOff>
      <xdr:row>56</xdr:row>
      <xdr:rowOff>131040</xdr:rowOff>
    </xdr:from>
    <xdr:to>
      <xdr:col>20</xdr:col>
      <xdr:colOff>4320</xdr:colOff>
      <xdr:row>72</xdr:row>
      <xdr:rowOff>142560</xdr:rowOff>
    </xdr:to>
    <xdr:graphicFrame>
      <xdr:nvGraphicFramePr>
        <xdr:cNvPr id="7" name="Chart 8"/>
        <xdr:cNvGraphicFramePr/>
      </xdr:nvGraphicFramePr>
      <xdr:xfrm>
        <a:off x="6114960" y="10858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5"/>
    <col collapsed="false" customWidth="true" hidden="false" outlineLevel="0" max="15" min="9" style="0" width="17"/>
    <col collapsed="false" customWidth="true" hidden="false" outlineLevel="0" max="16" min="16" style="0" width="2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n">
        <v>1900</v>
      </c>
      <c r="B2" s="3" t="n">
        <v>0</v>
      </c>
      <c r="C2" s="3" t="n">
        <v>0.01</v>
      </c>
      <c r="D2" s="3" t="n">
        <v>0.1</v>
      </c>
      <c r="E2" s="3" t="n">
        <v>0</v>
      </c>
      <c r="F2" s="3" t="n">
        <v>0</v>
      </c>
      <c r="G2" s="3" t="n">
        <v>0.11</v>
      </c>
      <c r="H2" s="3" t="n">
        <v>1</v>
      </c>
      <c r="I2" s="4" t="n">
        <f aca="false">B2+C2+D2</f>
        <v>0.11</v>
      </c>
      <c r="J2" s="4" t="n">
        <f aca="false">I2-E2</f>
        <v>0.11</v>
      </c>
      <c r="K2" s="4" t="n">
        <f aca="false">G2-J2</f>
        <v>0</v>
      </c>
      <c r="L2" s="5" t="n">
        <f aca="false">IF(I2=0,0,E2/I2*100)</f>
        <v>0</v>
      </c>
      <c r="M2" s="5" t="n">
        <f aca="false">IF(E2=0,0,F2/E2*100)</f>
        <v>0</v>
      </c>
      <c r="N2" s="5"/>
      <c r="O2" s="5" t="n">
        <f aca="false">IF(I2=0,0,B2/I2*100)</f>
        <v>0</v>
      </c>
      <c r="P2" s="3" t="str">
        <f aca="false">IF(A2&lt;1950,"Pre-plastic (1900-1949)",IF(A2&lt;1990,"Plastic boom (1950-1989)","Modern (1990-2026)"))</f>
        <v>Pre-plastic (1900-1949)</v>
      </c>
    </row>
    <row r="3" customFormat="false" ht="15" hidden="false" customHeight="false" outlineLevel="0" collapsed="false">
      <c r="A3" s="3" t="n">
        <v>1901</v>
      </c>
      <c r="B3" s="3" t="n">
        <v>0</v>
      </c>
      <c r="C3" s="3" t="n">
        <v>0.01</v>
      </c>
      <c r="D3" s="3" t="n">
        <v>0.11</v>
      </c>
      <c r="E3" s="3" t="n">
        <v>0</v>
      </c>
      <c r="F3" s="3" t="n">
        <v>0</v>
      </c>
      <c r="G3" s="3" t="n">
        <v>0.12</v>
      </c>
      <c r="H3" s="3" t="n">
        <v>1</v>
      </c>
      <c r="I3" s="4" t="n">
        <f aca="false">B3+C3+D3</f>
        <v>0.12</v>
      </c>
      <c r="J3" s="4" t="n">
        <f aca="false">I3-E3</f>
        <v>0.12</v>
      </c>
      <c r="K3" s="4" t="n">
        <f aca="false">G3-J3</f>
        <v>0</v>
      </c>
      <c r="L3" s="5" t="n">
        <f aca="false">IF(I3=0,0,E3/I3*100)</f>
        <v>0</v>
      </c>
      <c r="M3" s="5" t="n">
        <f aca="false">IF(E3=0,0,F3/E3*100)</f>
        <v>0</v>
      </c>
      <c r="N3" s="5" t="n">
        <f aca="false">IF(G2=0,0,(G3-G2)/G2*100)</f>
        <v>9.09090909090909</v>
      </c>
      <c r="O3" s="5" t="n">
        <f aca="false">IF(I3=0,0,B3/I3*100)</f>
        <v>0</v>
      </c>
      <c r="P3" s="3" t="str">
        <f aca="false">IF(A3&lt;1950,"Pre-plastic (1900-1949)",IF(A3&lt;1990,"Plastic boom (1950-1989)","Modern (1990-2026)"))</f>
        <v>Pre-plastic (1900-1949)</v>
      </c>
    </row>
    <row r="4" customFormat="false" ht="15" hidden="false" customHeight="false" outlineLevel="0" collapsed="false">
      <c r="A4" s="3" t="n">
        <v>1902</v>
      </c>
      <c r="B4" s="3" t="n">
        <v>0</v>
      </c>
      <c r="C4" s="3" t="n">
        <v>0.01</v>
      </c>
      <c r="D4" s="3" t="n">
        <v>0.12</v>
      </c>
      <c r="E4" s="3" t="n">
        <v>0</v>
      </c>
      <c r="F4" s="3" t="n">
        <v>0</v>
      </c>
      <c r="G4" s="3" t="n">
        <v>0.13</v>
      </c>
      <c r="H4" s="3" t="n">
        <v>1</v>
      </c>
      <c r="I4" s="4" t="n">
        <f aca="false">B4+C4+D4</f>
        <v>0.13</v>
      </c>
      <c r="J4" s="4" t="n">
        <f aca="false">I4-E4</f>
        <v>0.13</v>
      </c>
      <c r="K4" s="4" t="n">
        <f aca="false">G4-J4</f>
        <v>0</v>
      </c>
      <c r="L4" s="5" t="n">
        <f aca="false">IF(I4=0,0,E4/I4*100)</f>
        <v>0</v>
      </c>
      <c r="M4" s="5" t="n">
        <f aca="false">IF(E4=0,0,F4/E4*100)</f>
        <v>0</v>
      </c>
      <c r="N4" s="5" t="n">
        <f aca="false">IF(G3=0,0,(G4-G3)/G3*100)</f>
        <v>8.33333333333334</v>
      </c>
      <c r="O4" s="5" t="n">
        <f aca="false">IF(I4=0,0,B4/I4*100)</f>
        <v>0</v>
      </c>
      <c r="P4" s="3" t="str">
        <f aca="false">IF(A4&lt;1950,"Pre-plastic (1900-1949)",IF(A4&lt;1990,"Plastic boom (1950-1989)","Modern (1990-2026)"))</f>
        <v>Pre-plastic (1900-1949)</v>
      </c>
    </row>
    <row r="5" customFormat="false" ht="15" hidden="false" customHeight="false" outlineLevel="0" collapsed="false">
      <c r="A5" s="3" t="n">
        <v>1903</v>
      </c>
      <c r="B5" s="3" t="n">
        <v>0</v>
      </c>
      <c r="C5" s="3" t="n">
        <v>0.01</v>
      </c>
      <c r="D5" s="3" t="n">
        <v>0.12</v>
      </c>
      <c r="E5" s="3" t="n">
        <v>0.01</v>
      </c>
      <c r="F5" s="3" t="n">
        <v>0</v>
      </c>
      <c r="G5" s="3" t="n">
        <v>0.12</v>
      </c>
      <c r="H5" s="3" t="n">
        <v>1</v>
      </c>
      <c r="I5" s="4" t="n">
        <f aca="false">B5+C5+D5</f>
        <v>0.13</v>
      </c>
      <c r="J5" s="4" t="n">
        <f aca="false">I5-E5</f>
        <v>0.12</v>
      </c>
      <c r="K5" s="4" t="n">
        <f aca="false">G5-J5</f>
        <v>0</v>
      </c>
      <c r="L5" s="5" t="n">
        <f aca="false">IF(I5=0,0,E5/I5*100)</f>
        <v>7.69230769230769</v>
      </c>
      <c r="M5" s="5" t="n">
        <f aca="false">IF(E5=0,0,F5/E5*100)</f>
        <v>0</v>
      </c>
      <c r="N5" s="5" t="n">
        <f aca="false">IF(G4=0,0,(G5-G4)/G4*100)</f>
        <v>-7.6923076923077</v>
      </c>
      <c r="O5" s="5" t="n">
        <f aca="false">IF(I5=0,0,B5/I5*100)</f>
        <v>0</v>
      </c>
      <c r="P5" s="3" t="str">
        <f aca="false">IF(A5&lt;1950,"Pre-plastic (1900-1949)",IF(A5&lt;1990,"Plastic boom (1950-1989)","Modern (1990-2026)"))</f>
        <v>Pre-plastic (1900-1949)</v>
      </c>
    </row>
    <row r="6" customFormat="false" ht="15" hidden="false" customHeight="false" outlineLevel="0" collapsed="false">
      <c r="A6" s="3" t="n">
        <v>1904</v>
      </c>
      <c r="B6" s="3" t="n">
        <v>0</v>
      </c>
      <c r="C6" s="3" t="n">
        <v>0.01</v>
      </c>
      <c r="D6" s="3" t="n">
        <v>0.13</v>
      </c>
      <c r="E6" s="3" t="n">
        <v>0.01</v>
      </c>
      <c r="F6" s="3" t="n">
        <v>0</v>
      </c>
      <c r="G6" s="3" t="n">
        <v>0.13</v>
      </c>
      <c r="H6" s="3" t="n">
        <v>1</v>
      </c>
      <c r="I6" s="4" t="n">
        <f aca="false">B6+C6+D6</f>
        <v>0.14</v>
      </c>
      <c r="J6" s="4" t="n">
        <f aca="false">I6-E6</f>
        <v>0.13</v>
      </c>
      <c r="K6" s="4" t="n">
        <f aca="false">G6-J6</f>
        <v>0</v>
      </c>
      <c r="L6" s="5" t="n">
        <f aca="false">IF(I6=0,0,E6/I6*100)</f>
        <v>7.14285714285714</v>
      </c>
      <c r="M6" s="5" t="n">
        <f aca="false">IF(E6=0,0,F6/E6*100)</f>
        <v>0</v>
      </c>
      <c r="N6" s="5" t="n">
        <f aca="false">IF(G5=0,0,(G6-G5)/G5*100)</f>
        <v>8.33333333333334</v>
      </c>
      <c r="O6" s="5" t="n">
        <f aca="false">IF(I6=0,0,B6/I6*100)</f>
        <v>0</v>
      </c>
      <c r="P6" s="3" t="str">
        <f aca="false">IF(A6&lt;1950,"Pre-plastic (1900-1949)",IF(A6&lt;1990,"Plastic boom (1950-1989)","Modern (1990-2026)"))</f>
        <v>Pre-plastic (1900-1949)</v>
      </c>
    </row>
    <row r="7" customFormat="false" ht="15" hidden="false" customHeight="false" outlineLevel="0" collapsed="false">
      <c r="A7" s="3" t="n">
        <v>1905</v>
      </c>
      <c r="B7" s="3" t="n">
        <v>0</v>
      </c>
      <c r="C7" s="3" t="n">
        <v>0.02</v>
      </c>
      <c r="D7" s="3" t="n">
        <v>0.14</v>
      </c>
      <c r="E7" s="3" t="n">
        <v>0.01</v>
      </c>
      <c r="F7" s="3" t="n">
        <v>0</v>
      </c>
      <c r="G7" s="3" t="n">
        <v>0.15</v>
      </c>
      <c r="H7" s="3" t="n">
        <v>2</v>
      </c>
      <c r="I7" s="4" t="n">
        <f aca="false">B7+C7+D7</f>
        <v>0.16</v>
      </c>
      <c r="J7" s="4" t="n">
        <f aca="false">I7-E7</f>
        <v>0.15</v>
      </c>
      <c r="K7" s="4" t="n">
        <f aca="false">G7-J7</f>
        <v>0</v>
      </c>
      <c r="L7" s="5" t="n">
        <f aca="false">IF(I7=0,0,E7/I7*100)</f>
        <v>6.25</v>
      </c>
      <c r="M7" s="5" t="n">
        <f aca="false">IF(E7=0,0,F7/E7*100)</f>
        <v>0</v>
      </c>
      <c r="N7" s="5" t="n">
        <f aca="false">IF(G6=0,0,(G7-G6)/G6*100)</f>
        <v>15.3846153846154</v>
      </c>
      <c r="O7" s="5" t="n">
        <f aca="false">IF(I7=0,0,B7/I7*100)</f>
        <v>0</v>
      </c>
      <c r="P7" s="3" t="str">
        <f aca="false">IF(A7&lt;1950,"Pre-plastic (1900-1949)",IF(A7&lt;1990,"Plastic boom (1950-1989)","Modern (1990-2026)"))</f>
        <v>Pre-plastic (1900-1949)</v>
      </c>
    </row>
    <row r="8" customFormat="false" ht="15" hidden="false" customHeight="false" outlineLevel="0" collapsed="false">
      <c r="A8" s="3" t="n">
        <v>1906</v>
      </c>
      <c r="B8" s="3" t="n">
        <v>0</v>
      </c>
      <c r="C8" s="3" t="n">
        <v>0.02</v>
      </c>
      <c r="D8" s="3" t="n">
        <v>0.15</v>
      </c>
      <c r="E8" s="3" t="n">
        <v>0.01</v>
      </c>
      <c r="F8" s="3" t="n">
        <v>0</v>
      </c>
      <c r="G8" s="3" t="n">
        <v>0.16</v>
      </c>
      <c r="H8" s="3" t="n">
        <v>2</v>
      </c>
      <c r="I8" s="4" t="n">
        <f aca="false">B8+C8+D8</f>
        <v>0.17</v>
      </c>
      <c r="J8" s="4" t="n">
        <f aca="false">I8-E8</f>
        <v>0.16</v>
      </c>
      <c r="K8" s="4" t="n">
        <f aca="false">G8-J8</f>
        <v>0</v>
      </c>
      <c r="L8" s="5" t="n">
        <f aca="false">IF(I8=0,0,E8/I8*100)</f>
        <v>5.88235294117647</v>
      </c>
      <c r="M8" s="5" t="n">
        <f aca="false">IF(E8=0,0,F8/E8*100)</f>
        <v>0</v>
      </c>
      <c r="N8" s="5" t="n">
        <f aca="false">IF(G7=0,0,(G8-G7)/G7*100)</f>
        <v>6.66666666666667</v>
      </c>
      <c r="O8" s="5" t="n">
        <f aca="false">IF(I8=0,0,B8/I8*100)</f>
        <v>0</v>
      </c>
      <c r="P8" s="3" t="str">
        <f aca="false">IF(A8&lt;1950,"Pre-plastic (1900-1949)",IF(A8&lt;1990,"Plastic boom (1950-1989)","Modern (1990-2026)"))</f>
        <v>Pre-plastic (1900-1949)</v>
      </c>
    </row>
    <row r="9" customFormat="false" ht="15" hidden="false" customHeight="false" outlineLevel="0" collapsed="false">
      <c r="A9" s="3" t="n">
        <v>1907</v>
      </c>
      <c r="B9" s="3" t="n">
        <v>0</v>
      </c>
      <c r="C9" s="3" t="n">
        <v>0.02</v>
      </c>
      <c r="D9" s="3" t="n">
        <v>0.16</v>
      </c>
      <c r="E9" s="3" t="n">
        <v>0.02</v>
      </c>
      <c r="F9" s="3" t="n">
        <v>0</v>
      </c>
      <c r="G9" s="3" t="n">
        <v>0.16</v>
      </c>
      <c r="H9" s="3" t="n">
        <v>2</v>
      </c>
      <c r="I9" s="4" t="n">
        <f aca="false">B9+C9+D9</f>
        <v>0.18</v>
      </c>
      <c r="J9" s="4" t="n">
        <f aca="false">I9-E9</f>
        <v>0.16</v>
      </c>
      <c r="K9" s="4" t="n">
        <f aca="false">G9-J9</f>
        <v>0</v>
      </c>
      <c r="L9" s="5" t="n">
        <f aca="false">IF(I9=0,0,E9/I9*100)</f>
        <v>11.1111111111111</v>
      </c>
      <c r="M9" s="5" t="n">
        <f aca="false">IF(E9=0,0,F9/E9*100)</f>
        <v>0</v>
      </c>
      <c r="N9" s="5" t="n">
        <f aca="false">IF(G8=0,0,(G9-G8)/G8*100)</f>
        <v>0</v>
      </c>
      <c r="O9" s="5" t="n">
        <f aca="false">IF(I9=0,0,B9/I9*100)</f>
        <v>0</v>
      </c>
      <c r="P9" s="3" t="str">
        <f aca="false">IF(A9&lt;1950,"Pre-plastic (1900-1949)",IF(A9&lt;1990,"Plastic boom (1950-1989)","Modern (1990-2026)"))</f>
        <v>Pre-plastic (1900-1949)</v>
      </c>
    </row>
    <row r="10" customFormat="false" ht="15" hidden="false" customHeight="false" outlineLevel="0" collapsed="false">
      <c r="A10" s="3" t="n">
        <v>1908</v>
      </c>
      <c r="B10" s="3" t="n">
        <v>0</v>
      </c>
      <c r="C10" s="3" t="n">
        <v>0.02</v>
      </c>
      <c r="D10" s="3" t="n">
        <v>0.17</v>
      </c>
      <c r="E10" s="3" t="n">
        <v>0.02</v>
      </c>
      <c r="F10" s="3" t="n">
        <v>0</v>
      </c>
      <c r="G10" s="3" t="n">
        <v>0.17</v>
      </c>
      <c r="H10" s="3" t="n">
        <v>2</v>
      </c>
      <c r="I10" s="4" t="n">
        <f aca="false">B10+C10+D10</f>
        <v>0.19</v>
      </c>
      <c r="J10" s="4" t="n">
        <f aca="false">I10-E10</f>
        <v>0.17</v>
      </c>
      <c r="K10" s="4" t="n">
        <f aca="false">G10-J10</f>
        <v>0</v>
      </c>
      <c r="L10" s="5" t="n">
        <f aca="false">IF(I10=0,0,E10/I10*100)</f>
        <v>10.5263157894737</v>
      </c>
      <c r="M10" s="5" t="n">
        <f aca="false">IF(E10=0,0,F10/E10*100)</f>
        <v>0</v>
      </c>
      <c r="N10" s="5" t="n">
        <f aca="false">IF(G9=0,0,(G10-G9)/G9*100)</f>
        <v>6.25000000000001</v>
      </c>
      <c r="O10" s="5" t="n">
        <f aca="false">IF(I10=0,0,B10/I10*100)</f>
        <v>0</v>
      </c>
      <c r="P10" s="3" t="str">
        <f aca="false">IF(A10&lt;1950,"Pre-plastic (1900-1949)",IF(A10&lt;1990,"Plastic boom (1950-1989)","Modern (1990-2026)"))</f>
        <v>Pre-plastic (1900-1949)</v>
      </c>
    </row>
    <row r="11" customFormat="false" ht="15" hidden="false" customHeight="false" outlineLevel="0" collapsed="false">
      <c r="A11" s="3" t="n">
        <v>1909</v>
      </c>
      <c r="B11" s="3" t="n">
        <v>0</v>
      </c>
      <c r="C11" s="3" t="n">
        <v>0.02</v>
      </c>
      <c r="D11" s="3" t="n">
        <v>0.17</v>
      </c>
      <c r="E11" s="3" t="n">
        <v>0.02</v>
      </c>
      <c r="F11" s="3" t="n">
        <v>0</v>
      </c>
      <c r="G11" s="3" t="n">
        <v>0.17</v>
      </c>
      <c r="H11" s="3" t="n">
        <v>2</v>
      </c>
      <c r="I11" s="4" t="n">
        <f aca="false">B11+C11+D11</f>
        <v>0.19</v>
      </c>
      <c r="J11" s="4" t="n">
        <f aca="false">I11-E11</f>
        <v>0.17</v>
      </c>
      <c r="K11" s="4" t="n">
        <f aca="false">G11-J11</f>
        <v>0</v>
      </c>
      <c r="L11" s="5" t="n">
        <f aca="false">IF(I11=0,0,E11/I11*100)</f>
        <v>10.5263157894737</v>
      </c>
      <c r="M11" s="5" t="n">
        <f aca="false">IF(E11=0,0,F11/E11*100)</f>
        <v>0</v>
      </c>
      <c r="N11" s="5" t="n">
        <f aca="false">IF(G10=0,0,(G11-G10)/G10*100)</f>
        <v>0</v>
      </c>
      <c r="O11" s="5" t="n">
        <f aca="false">IF(I11=0,0,B11/I11*100)</f>
        <v>0</v>
      </c>
      <c r="P11" s="3" t="str">
        <f aca="false">IF(A11&lt;1950,"Pre-plastic (1900-1949)",IF(A11&lt;1990,"Plastic boom (1950-1989)","Modern (1990-2026)"))</f>
        <v>Pre-plastic (1900-1949)</v>
      </c>
    </row>
    <row r="12" customFormat="false" ht="15" hidden="false" customHeight="false" outlineLevel="0" collapsed="false">
      <c r="A12" s="3" t="n">
        <v>1910</v>
      </c>
      <c r="B12" s="3" t="n">
        <v>0</v>
      </c>
      <c r="C12" s="3" t="n">
        <v>0.02</v>
      </c>
      <c r="D12" s="3" t="n">
        <v>0.18</v>
      </c>
      <c r="E12" s="3" t="n">
        <v>0.02</v>
      </c>
      <c r="F12" s="3" t="n">
        <v>0</v>
      </c>
      <c r="G12" s="3" t="n">
        <v>0.18</v>
      </c>
      <c r="H12" s="3" t="n">
        <v>2</v>
      </c>
      <c r="I12" s="4" t="n">
        <f aca="false">B12+C12+D12</f>
        <v>0.2</v>
      </c>
      <c r="J12" s="4" t="n">
        <f aca="false">I12-E12</f>
        <v>0.18</v>
      </c>
      <c r="K12" s="4" t="n">
        <f aca="false">G12-J12</f>
        <v>0</v>
      </c>
      <c r="L12" s="5" t="n">
        <f aca="false">IF(I12=0,0,E12/I12*100)</f>
        <v>10</v>
      </c>
      <c r="M12" s="5" t="n">
        <f aca="false">IF(E12=0,0,F12/E12*100)</f>
        <v>0</v>
      </c>
      <c r="N12" s="5" t="n">
        <f aca="false">IF(G11=0,0,(G12-G11)/G11*100)</f>
        <v>5.88235294117646</v>
      </c>
      <c r="O12" s="5" t="n">
        <f aca="false">IF(I12=0,0,B12/I12*100)</f>
        <v>0</v>
      </c>
      <c r="P12" s="3" t="str">
        <f aca="false">IF(A12&lt;1950,"Pre-plastic (1900-1949)",IF(A12&lt;1990,"Plastic boom (1950-1989)","Modern (1990-2026)"))</f>
        <v>Pre-plastic (1900-1949)</v>
      </c>
    </row>
    <row r="13" customFormat="false" ht="15" hidden="false" customHeight="false" outlineLevel="0" collapsed="false">
      <c r="A13" s="3" t="n">
        <v>1911</v>
      </c>
      <c r="B13" s="3" t="n">
        <v>0</v>
      </c>
      <c r="C13" s="3" t="n">
        <v>0.02</v>
      </c>
      <c r="D13" s="3" t="n">
        <v>0.19</v>
      </c>
      <c r="E13" s="3" t="n">
        <v>0.03</v>
      </c>
      <c r="F13" s="3" t="n">
        <v>0</v>
      </c>
      <c r="G13" s="3" t="n">
        <v>0.18</v>
      </c>
      <c r="H13" s="3" t="n">
        <v>2</v>
      </c>
      <c r="I13" s="4" t="n">
        <f aca="false">B13+C13+D13</f>
        <v>0.21</v>
      </c>
      <c r="J13" s="4" t="n">
        <f aca="false">I13-E13</f>
        <v>0.18</v>
      </c>
      <c r="K13" s="4" t="n">
        <f aca="false">G13-J13</f>
        <v>0</v>
      </c>
      <c r="L13" s="5" t="n">
        <f aca="false">IF(I13=0,0,E13/I13*100)</f>
        <v>14.2857142857143</v>
      </c>
      <c r="M13" s="5" t="n">
        <f aca="false">IF(E13=0,0,F13/E13*100)</f>
        <v>0</v>
      </c>
      <c r="N13" s="5" t="n">
        <f aca="false">IF(G12=0,0,(G13-G12)/G12*100)</f>
        <v>0</v>
      </c>
      <c r="O13" s="5" t="n">
        <f aca="false">IF(I13=0,0,B13/I13*100)</f>
        <v>0</v>
      </c>
      <c r="P13" s="3" t="str">
        <f aca="false">IF(A13&lt;1950,"Pre-plastic (1900-1949)",IF(A13&lt;1990,"Plastic boom (1950-1989)","Modern (1990-2026)"))</f>
        <v>Pre-plastic (1900-1949)</v>
      </c>
    </row>
    <row r="14" customFormat="false" ht="15" hidden="false" customHeight="false" outlineLevel="0" collapsed="false">
      <c r="A14" s="3" t="n">
        <v>1912</v>
      </c>
      <c r="B14" s="3" t="n">
        <v>0</v>
      </c>
      <c r="C14" s="3" t="n">
        <v>0.02</v>
      </c>
      <c r="D14" s="3" t="n">
        <v>0.2</v>
      </c>
      <c r="E14" s="3" t="n">
        <v>0.03</v>
      </c>
      <c r="F14" s="3" t="n">
        <v>0</v>
      </c>
      <c r="G14" s="3" t="n">
        <v>0.19</v>
      </c>
      <c r="H14" s="3" t="n">
        <v>2</v>
      </c>
      <c r="I14" s="4" t="n">
        <f aca="false">B14+C14+D14</f>
        <v>0.22</v>
      </c>
      <c r="J14" s="4" t="n">
        <f aca="false">I14-E14</f>
        <v>0.19</v>
      </c>
      <c r="K14" s="4" t="n">
        <f aca="false">G14-J14</f>
        <v>0</v>
      </c>
      <c r="L14" s="5" t="n">
        <f aca="false">IF(I14=0,0,E14/I14*100)</f>
        <v>13.6363636363636</v>
      </c>
      <c r="M14" s="5" t="n">
        <f aca="false">IF(E14=0,0,F14/E14*100)</f>
        <v>0</v>
      </c>
      <c r="N14" s="5" t="n">
        <f aca="false">IF(G13=0,0,(G14-G13)/G13*100)</f>
        <v>5.55555555555556</v>
      </c>
      <c r="O14" s="5" t="n">
        <f aca="false">IF(I14=0,0,B14/I14*100)</f>
        <v>0</v>
      </c>
      <c r="P14" s="3" t="str">
        <f aca="false">IF(A14&lt;1950,"Pre-plastic (1900-1949)",IF(A14&lt;1990,"Plastic boom (1950-1989)","Modern (1990-2026)"))</f>
        <v>Pre-plastic (1900-1949)</v>
      </c>
    </row>
    <row r="15" customFormat="false" ht="15" hidden="false" customHeight="false" outlineLevel="0" collapsed="false">
      <c r="A15" s="3" t="n">
        <v>1913</v>
      </c>
      <c r="B15" s="3" t="n">
        <v>0</v>
      </c>
      <c r="C15" s="3" t="n">
        <v>0.02</v>
      </c>
      <c r="D15" s="3" t="n">
        <v>0.21</v>
      </c>
      <c r="E15" s="3" t="n">
        <v>0.03</v>
      </c>
      <c r="F15" s="3" t="n">
        <v>0</v>
      </c>
      <c r="G15" s="3" t="n">
        <v>0.2</v>
      </c>
      <c r="H15" s="3" t="n">
        <v>2</v>
      </c>
      <c r="I15" s="4" t="n">
        <f aca="false">B15+C15+D15</f>
        <v>0.23</v>
      </c>
      <c r="J15" s="4" t="n">
        <f aca="false">I15-E15</f>
        <v>0.2</v>
      </c>
      <c r="K15" s="4" t="n">
        <f aca="false">G15-J15</f>
        <v>0</v>
      </c>
      <c r="L15" s="5" t="n">
        <f aca="false">IF(I15=0,0,E15/I15*100)</f>
        <v>13.0434782608696</v>
      </c>
      <c r="M15" s="5" t="n">
        <f aca="false">IF(E15=0,0,F15/E15*100)</f>
        <v>0</v>
      </c>
      <c r="N15" s="5" t="n">
        <f aca="false">IF(G14=0,0,(G15-G14)/G14*100)</f>
        <v>5.26315789473685</v>
      </c>
      <c r="O15" s="5" t="n">
        <f aca="false">IF(I15=0,0,B15/I15*100)</f>
        <v>0</v>
      </c>
      <c r="P15" s="3" t="str">
        <f aca="false">IF(A15&lt;1950,"Pre-plastic (1900-1949)",IF(A15&lt;1990,"Plastic boom (1950-1989)","Modern (1990-2026)"))</f>
        <v>Pre-plastic (1900-1949)</v>
      </c>
    </row>
    <row r="16" customFormat="false" ht="15" hidden="false" customHeight="false" outlineLevel="0" collapsed="false">
      <c r="A16" s="3" t="n">
        <v>1914</v>
      </c>
      <c r="B16" s="3" t="n">
        <v>0</v>
      </c>
      <c r="C16" s="3" t="n">
        <v>0.02</v>
      </c>
      <c r="D16" s="3" t="n">
        <v>0.22</v>
      </c>
      <c r="E16" s="3" t="n">
        <v>0.03</v>
      </c>
      <c r="F16" s="3" t="n">
        <v>0</v>
      </c>
      <c r="G16" s="3" t="n">
        <v>0.21</v>
      </c>
      <c r="H16" s="3" t="n">
        <v>2</v>
      </c>
      <c r="I16" s="4" t="n">
        <f aca="false">B16+C16+D16</f>
        <v>0.24</v>
      </c>
      <c r="J16" s="4" t="n">
        <f aca="false">I16-E16</f>
        <v>0.21</v>
      </c>
      <c r="K16" s="4" t="n">
        <f aca="false">G16-J16</f>
        <v>0</v>
      </c>
      <c r="L16" s="5" t="n">
        <f aca="false">IF(I16=0,0,E16/I16*100)</f>
        <v>12.5</v>
      </c>
      <c r="M16" s="5" t="n">
        <f aca="false">IF(E16=0,0,F16/E16*100)</f>
        <v>0</v>
      </c>
      <c r="N16" s="5" t="n">
        <f aca="false">IF(G15=0,0,(G16-G15)/G15*100)</f>
        <v>4.99999999999999</v>
      </c>
      <c r="O16" s="5" t="n">
        <f aca="false">IF(I16=0,0,B16/I16*100)</f>
        <v>0</v>
      </c>
      <c r="P16" s="3" t="str">
        <f aca="false">IF(A16&lt;1950,"Pre-plastic (1900-1949)",IF(A16&lt;1990,"Plastic boom (1950-1989)","Modern (1990-2026)"))</f>
        <v>Pre-plastic (1900-1949)</v>
      </c>
    </row>
    <row r="17" customFormat="false" ht="15" hidden="false" customHeight="false" outlineLevel="0" collapsed="false">
      <c r="A17" s="3" t="n">
        <v>1915</v>
      </c>
      <c r="B17" s="3" t="n">
        <v>0</v>
      </c>
      <c r="C17" s="3" t="n">
        <v>0.03</v>
      </c>
      <c r="D17" s="3" t="n">
        <v>0.22</v>
      </c>
      <c r="E17" s="3" t="n">
        <v>0.03</v>
      </c>
      <c r="F17" s="3" t="n">
        <v>0</v>
      </c>
      <c r="G17" s="3" t="n">
        <v>0.22</v>
      </c>
      <c r="H17" s="3" t="n">
        <v>3</v>
      </c>
      <c r="I17" s="4" t="n">
        <f aca="false">B17+C17+D17</f>
        <v>0.25</v>
      </c>
      <c r="J17" s="4" t="n">
        <f aca="false">I17-E17</f>
        <v>0.22</v>
      </c>
      <c r="K17" s="4" t="n">
        <f aca="false">G17-J17</f>
        <v>0</v>
      </c>
      <c r="L17" s="5" t="n">
        <f aca="false">IF(I17=0,0,E17/I17*100)</f>
        <v>12</v>
      </c>
      <c r="M17" s="5" t="n">
        <f aca="false">IF(E17=0,0,F17/E17*100)</f>
        <v>0</v>
      </c>
      <c r="N17" s="5" t="n">
        <f aca="false">IF(G16=0,0,(G17-G16)/G16*100)</f>
        <v>4.76190476190477</v>
      </c>
      <c r="O17" s="5" t="n">
        <f aca="false">IF(I17=0,0,B17/I17*100)</f>
        <v>0</v>
      </c>
      <c r="P17" s="3" t="str">
        <f aca="false">IF(A17&lt;1950,"Pre-plastic (1900-1949)",IF(A17&lt;1990,"Plastic boom (1950-1989)","Modern (1990-2026)"))</f>
        <v>Pre-plastic (1900-1949)</v>
      </c>
    </row>
    <row r="18" customFormat="false" ht="15" hidden="false" customHeight="false" outlineLevel="0" collapsed="false">
      <c r="A18" s="3" t="n">
        <v>1916</v>
      </c>
      <c r="B18" s="3" t="n">
        <v>0</v>
      </c>
      <c r="C18" s="3" t="n">
        <v>0.03</v>
      </c>
      <c r="D18" s="3" t="n">
        <v>0.23</v>
      </c>
      <c r="E18" s="3" t="n">
        <v>0.04</v>
      </c>
      <c r="F18" s="3" t="n">
        <v>0</v>
      </c>
      <c r="G18" s="3" t="n">
        <v>0.22</v>
      </c>
      <c r="H18" s="3" t="n">
        <v>3</v>
      </c>
      <c r="I18" s="4" t="n">
        <f aca="false">B18+C18+D18</f>
        <v>0.26</v>
      </c>
      <c r="J18" s="4" t="n">
        <f aca="false">I18-E18</f>
        <v>0.22</v>
      </c>
      <c r="K18" s="4" t="n">
        <f aca="false">G18-J18</f>
        <v>0</v>
      </c>
      <c r="L18" s="5" t="n">
        <f aca="false">IF(I18=0,0,E18/I18*100)</f>
        <v>15.3846153846154</v>
      </c>
      <c r="M18" s="5" t="n">
        <f aca="false">IF(E18=0,0,F18/E18*100)</f>
        <v>0</v>
      </c>
      <c r="N18" s="5" t="n">
        <f aca="false">IF(G17=0,0,(G18-G17)/G17*100)</f>
        <v>0</v>
      </c>
      <c r="O18" s="5" t="n">
        <f aca="false">IF(I18=0,0,B18/I18*100)</f>
        <v>0</v>
      </c>
      <c r="P18" s="3" t="str">
        <f aca="false">IF(A18&lt;1950,"Pre-plastic (1900-1949)",IF(A18&lt;1990,"Plastic boom (1950-1989)","Modern (1990-2026)"))</f>
        <v>Pre-plastic (1900-1949)</v>
      </c>
    </row>
    <row r="19" customFormat="false" ht="15" hidden="false" customHeight="false" outlineLevel="0" collapsed="false">
      <c r="A19" s="3" t="n">
        <v>1917</v>
      </c>
      <c r="B19" s="3" t="n">
        <v>0</v>
      </c>
      <c r="C19" s="3" t="n">
        <v>0.03</v>
      </c>
      <c r="D19" s="3" t="n">
        <v>0.24</v>
      </c>
      <c r="E19" s="3" t="n">
        <v>0.04</v>
      </c>
      <c r="F19" s="3" t="n">
        <v>0</v>
      </c>
      <c r="G19" s="3" t="n">
        <v>0.23</v>
      </c>
      <c r="H19" s="3" t="n">
        <v>3</v>
      </c>
      <c r="I19" s="4" t="n">
        <f aca="false">B19+C19+D19</f>
        <v>0.27</v>
      </c>
      <c r="J19" s="4" t="n">
        <f aca="false">I19-E19</f>
        <v>0.23</v>
      </c>
      <c r="K19" s="4" t="n">
        <f aca="false">G19-J19</f>
        <v>0</v>
      </c>
      <c r="L19" s="5" t="n">
        <f aca="false">IF(I19=0,0,E19/I19*100)</f>
        <v>14.8148148148148</v>
      </c>
      <c r="M19" s="5" t="n">
        <f aca="false">IF(E19=0,0,F19/E19*100)</f>
        <v>0</v>
      </c>
      <c r="N19" s="5" t="n">
        <f aca="false">IF(G18=0,0,(G19-G18)/G18*100)</f>
        <v>4.54545454545455</v>
      </c>
      <c r="O19" s="5" t="n">
        <f aca="false">IF(I19=0,0,B19/I19*100)</f>
        <v>0</v>
      </c>
      <c r="P19" s="3" t="str">
        <f aca="false">IF(A19&lt;1950,"Pre-plastic (1900-1949)",IF(A19&lt;1990,"Plastic boom (1950-1989)","Modern (1990-2026)"))</f>
        <v>Pre-plastic (1900-1949)</v>
      </c>
    </row>
    <row r="20" customFormat="false" ht="15" hidden="false" customHeight="false" outlineLevel="0" collapsed="false">
      <c r="A20" s="3" t="n">
        <v>1918</v>
      </c>
      <c r="B20" s="3" t="n">
        <v>0</v>
      </c>
      <c r="C20" s="3" t="n">
        <v>0.03</v>
      </c>
      <c r="D20" s="3" t="n">
        <v>0.25</v>
      </c>
      <c r="E20" s="3" t="n">
        <v>0.04</v>
      </c>
      <c r="F20" s="3" t="n">
        <v>0</v>
      </c>
      <c r="G20" s="3" t="n">
        <v>0.24</v>
      </c>
      <c r="H20" s="3" t="n">
        <v>3</v>
      </c>
      <c r="I20" s="4" t="n">
        <f aca="false">B20+C20+D20</f>
        <v>0.28</v>
      </c>
      <c r="J20" s="4" t="n">
        <f aca="false">I20-E20</f>
        <v>0.24</v>
      </c>
      <c r="K20" s="4" t="n">
        <f aca="false">G20-J20</f>
        <v>0</v>
      </c>
      <c r="L20" s="5" t="n">
        <f aca="false">IF(I20=0,0,E20/I20*100)</f>
        <v>14.2857142857143</v>
      </c>
      <c r="M20" s="5" t="n">
        <f aca="false">IF(E20=0,0,F20/E20*100)</f>
        <v>0</v>
      </c>
      <c r="N20" s="5" t="n">
        <f aca="false">IF(G19=0,0,(G20-G19)/G19*100)</f>
        <v>4.34782608695651</v>
      </c>
      <c r="O20" s="5" t="n">
        <f aca="false">IF(I20=0,0,B20/I20*100)</f>
        <v>0</v>
      </c>
      <c r="P20" s="3" t="str">
        <f aca="false">IF(A20&lt;1950,"Pre-plastic (1900-1949)",IF(A20&lt;1990,"Plastic boom (1950-1989)","Modern (1990-2026)"))</f>
        <v>Pre-plastic (1900-1949)</v>
      </c>
    </row>
    <row r="21" customFormat="false" ht="15" hidden="false" customHeight="false" outlineLevel="0" collapsed="false">
      <c r="A21" s="3" t="n">
        <v>1919</v>
      </c>
      <c r="B21" s="3" t="n">
        <v>0</v>
      </c>
      <c r="C21" s="3" t="n">
        <v>0.03</v>
      </c>
      <c r="D21" s="3" t="n">
        <v>0.26</v>
      </c>
      <c r="E21" s="3" t="n">
        <v>0.04</v>
      </c>
      <c r="F21" s="3" t="n">
        <v>0</v>
      </c>
      <c r="G21" s="3" t="n">
        <v>0.25</v>
      </c>
      <c r="H21" s="3" t="n">
        <v>3</v>
      </c>
      <c r="I21" s="4" t="n">
        <f aca="false">B21+C21+D21</f>
        <v>0.29</v>
      </c>
      <c r="J21" s="4" t="n">
        <f aca="false">I21-E21</f>
        <v>0.25</v>
      </c>
      <c r="K21" s="4" t="n">
        <f aca="false">G21-J21</f>
        <v>0</v>
      </c>
      <c r="L21" s="5" t="n">
        <f aca="false">IF(I21=0,0,E21/I21*100)</f>
        <v>13.7931034482759</v>
      </c>
      <c r="M21" s="5" t="n">
        <f aca="false">IF(E21=0,0,F21/E21*100)</f>
        <v>0</v>
      </c>
      <c r="N21" s="5" t="n">
        <f aca="false">IF(G20=0,0,(G21-G20)/G20*100)</f>
        <v>4.16666666666667</v>
      </c>
      <c r="O21" s="5" t="n">
        <f aca="false">IF(I21=0,0,B21/I21*100)</f>
        <v>0</v>
      </c>
      <c r="P21" s="3" t="str">
        <f aca="false">IF(A21&lt;1950,"Pre-plastic (1900-1949)",IF(A21&lt;1990,"Plastic boom (1950-1989)","Modern (1990-2026)"))</f>
        <v>Pre-plastic (1900-1949)</v>
      </c>
    </row>
    <row r="22" customFormat="false" ht="15" hidden="false" customHeight="false" outlineLevel="0" collapsed="false">
      <c r="A22" s="3" t="n">
        <v>1920</v>
      </c>
      <c r="B22" s="3" t="n">
        <v>0</v>
      </c>
      <c r="C22" s="3" t="n">
        <v>0.03</v>
      </c>
      <c r="D22" s="3" t="n">
        <v>0.26</v>
      </c>
      <c r="E22" s="3" t="n">
        <v>0.05</v>
      </c>
      <c r="F22" s="3" t="n">
        <v>0</v>
      </c>
      <c r="G22" s="3" t="n">
        <v>0.24</v>
      </c>
      <c r="H22" s="3" t="n">
        <v>3</v>
      </c>
      <c r="I22" s="4" t="n">
        <f aca="false">B22+C22+D22</f>
        <v>0.29</v>
      </c>
      <c r="J22" s="4" t="n">
        <f aca="false">I22-E22</f>
        <v>0.24</v>
      </c>
      <c r="K22" s="4" t="n">
        <f aca="false">G22-J22</f>
        <v>0</v>
      </c>
      <c r="L22" s="5" t="n">
        <f aca="false">IF(I22=0,0,E22/I22*100)</f>
        <v>17.2413793103448</v>
      </c>
      <c r="M22" s="5" t="n">
        <f aca="false">IF(E22=0,0,F22/E22*100)</f>
        <v>0</v>
      </c>
      <c r="N22" s="5" t="n">
        <f aca="false">IF(G21=0,0,(G22-G21)/G21*100)</f>
        <v>-4</v>
      </c>
      <c r="O22" s="5" t="n">
        <f aca="false">IF(I22=0,0,B22/I22*100)</f>
        <v>0</v>
      </c>
      <c r="P22" s="3" t="str">
        <f aca="false">IF(A22&lt;1950,"Pre-plastic (1900-1949)",IF(A22&lt;1990,"Plastic boom (1950-1989)","Modern (1990-2026)"))</f>
        <v>Pre-plastic (1900-1949)</v>
      </c>
    </row>
    <row r="23" customFormat="false" ht="15" hidden="false" customHeight="false" outlineLevel="0" collapsed="false">
      <c r="A23" s="3" t="n">
        <v>1921</v>
      </c>
      <c r="B23" s="3" t="n">
        <v>0</v>
      </c>
      <c r="C23" s="3" t="n">
        <v>0.03</v>
      </c>
      <c r="D23" s="3" t="n">
        <v>0.27</v>
      </c>
      <c r="E23" s="3" t="n">
        <v>0.05</v>
      </c>
      <c r="F23" s="3" t="n">
        <v>0</v>
      </c>
      <c r="G23" s="3" t="n">
        <v>0.25</v>
      </c>
      <c r="H23" s="3" t="n">
        <v>3</v>
      </c>
      <c r="I23" s="4" t="n">
        <f aca="false">B23+C23+D23</f>
        <v>0.3</v>
      </c>
      <c r="J23" s="4" t="n">
        <f aca="false">I23-E23</f>
        <v>0.25</v>
      </c>
      <c r="K23" s="4" t="n">
        <f aca="false">G23-J23</f>
        <v>0</v>
      </c>
      <c r="L23" s="5" t="n">
        <f aca="false">IF(I23=0,0,E23/I23*100)</f>
        <v>16.6666666666667</v>
      </c>
      <c r="M23" s="5" t="n">
        <f aca="false">IF(E23=0,0,F23/E23*100)</f>
        <v>0</v>
      </c>
      <c r="N23" s="5" t="n">
        <f aca="false">IF(G22=0,0,(G23-G22)/G22*100)</f>
        <v>4.16666666666667</v>
      </c>
      <c r="O23" s="5" t="n">
        <f aca="false">IF(I23=0,0,B23/I23*100)</f>
        <v>0</v>
      </c>
      <c r="P23" s="3" t="str">
        <f aca="false">IF(A23&lt;1950,"Pre-plastic (1900-1949)",IF(A23&lt;1990,"Plastic boom (1950-1989)","Modern (1990-2026)"))</f>
        <v>Pre-plastic (1900-1949)</v>
      </c>
    </row>
    <row r="24" customFormat="false" ht="15" hidden="false" customHeight="false" outlineLevel="0" collapsed="false">
      <c r="A24" s="3" t="n">
        <v>1922</v>
      </c>
      <c r="B24" s="3" t="n">
        <v>0</v>
      </c>
      <c r="C24" s="3" t="n">
        <v>0.03</v>
      </c>
      <c r="D24" s="3" t="n">
        <v>0.28</v>
      </c>
      <c r="E24" s="3" t="n">
        <v>0.05</v>
      </c>
      <c r="F24" s="3" t="n">
        <v>0</v>
      </c>
      <c r="G24" s="3" t="n">
        <v>0.26</v>
      </c>
      <c r="H24" s="3" t="n">
        <v>3</v>
      </c>
      <c r="I24" s="4" t="n">
        <f aca="false">B24+C24+D24</f>
        <v>0.31</v>
      </c>
      <c r="J24" s="4" t="n">
        <f aca="false">I24-E24</f>
        <v>0.26</v>
      </c>
      <c r="K24" s="4" t="n">
        <f aca="false">G24-J24</f>
        <v>0</v>
      </c>
      <c r="L24" s="5" t="n">
        <f aca="false">IF(I24=0,0,E24/I24*100)</f>
        <v>16.1290322580645</v>
      </c>
      <c r="M24" s="5" t="n">
        <f aca="false">IF(E24=0,0,F24/E24*100)</f>
        <v>0</v>
      </c>
      <c r="N24" s="5" t="n">
        <f aca="false">IF(G23=0,0,(G24-G23)/G23*100)</f>
        <v>4</v>
      </c>
      <c r="O24" s="5" t="n">
        <f aca="false">IF(I24=0,0,B24/I24*100)</f>
        <v>0</v>
      </c>
      <c r="P24" s="3" t="str">
        <f aca="false">IF(A24&lt;1950,"Pre-plastic (1900-1949)",IF(A24&lt;1990,"Plastic boom (1950-1989)","Modern (1990-2026)"))</f>
        <v>Pre-plastic (1900-1949)</v>
      </c>
    </row>
    <row r="25" customFormat="false" ht="15" hidden="false" customHeight="false" outlineLevel="0" collapsed="false">
      <c r="A25" s="3" t="n">
        <v>1923</v>
      </c>
      <c r="B25" s="3" t="n">
        <v>0</v>
      </c>
      <c r="C25" s="3" t="n">
        <v>0.03</v>
      </c>
      <c r="D25" s="3" t="n">
        <v>0.29</v>
      </c>
      <c r="E25" s="3" t="n">
        <v>0.05</v>
      </c>
      <c r="F25" s="3" t="n">
        <v>0</v>
      </c>
      <c r="G25" s="3" t="n">
        <v>0.27</v>
      </c>
      <c r="H25" s="3" t="n">
        <v>3</v>
      </c>
      <c r="I25" s="4" t="n">
        <f aca="false">B25+C25+D25</f>
        <v>0.32</v>
      </c>
      <c r="J25" s="4" t="n">
        <f aca="false">I25-E25</f>
        <v>0.27</v>
      </c>
      <c r="K25" s="4" t="n">
        <f aca="false">G25-J25</f>
        <v>0</v>
      </c>
      <c r="L25" s="5" t="n">
        <f aca="false">IF(I25=0,0,E25/I25*100)</f>
        <v>15.625</v>
      </c>
      <c r="M25" s="5" t="n">
        <f aca="false">IF(E25=0,0,F25/E25*100)</f>
        <v>0</v>
      </c>
      <c r="N25" s="5" t="n">
        <f aca="false">IF(G24=0,0,(G25-G24)/G24*100)</f>
        <v>3.84615384615385</v>
      </c>
      <c r="O25" s="5" t="n">
        <f aca="false">IF(I25=0,0,B25/I25*100)</f>
        <v>0</v>
      </c>
      <c r="P25" s="3" t="str">
        <f aca="false">IF(A25&lt;1950,"Pre-plastic (1900-1949)",IF(A25&lt;1990,"Plastic boom (1950-1989)","Modern (1990-2026)"))</f>
        <v>Pre-plastic (1900-1949)</v>
      </c>
    </row>
    <row r="26" customFormat="false" ht="15" hidden="false" customHeight="false" outlineLevel="0" collapsed="false">
      <c r="A26" s="3" t="n">
        <v>1924</v>
      </c>
      <c r="B26" s="3" t="n">
        <v>0</v>
      </c>
      <c r="C26" s="3" t="n">
        <v>0.03</v>
      </c>
      <c r="D26" s="3" t="n">
        <v>0.3</v>
      </c>
      <c r="E26" s="3" t="n">
        <v>0.05</v>
      </c>
      <c r="F26" s="3" t="n">
        <v>0</v>
      </c>
      <c r="G26" s="3" t="n">
        <v>0.28</v>
      </c>
      <c r="H26" s="3" t="n">
        <v>3</v>
      </c>
      <c r="I26" s="4" t="n">
        <f aca="false">B26+C26+D26</f>
        <v>0.33</v>
      </c>
      <c r="J26" s="4" t="n">
        <f aca="false">I26-E26</f>
        <v>0.28</v>
      </c>
      <c r="K26" s="4" t="n">
        <f aca="false">G26-J26</f>
        <v>0</v>
      </c>
      <c r="L26" s="5" t="n">
        <f aca="false">IF(I26=0,0,E26/I26*100)</f>
        <v>15.1515151515152</v>
      </c>
      <c r="M26" s="5" t="n">
        <f aca="false">IF(E26=0,0,F26/E26*100)</f>
        <v>0</v>
      </c>
      <c r="N26" s="5" t="n">
        <f aca="false">IF(G25=0,0,(G26-G25)/G25*100)</f>
        <v>3.70370370370371</v>
      </c>
      <c r="O26" s="5" t="n">
        <f aca="false">IF(I26=0,0,B26/I26*100)</f>
        <v>0</v>
      </c>
      <c r="P26" s="3" t="str">
        <f aca="false">IF(A26&lt;1950,"Pre-plastic (1900-1949)",IF(A26&lt;1990,"Plastic boom (1950-1989)","Modern (1990-2026)"))</f>
        <v>Pre-plastic (1900-1949)</v>
      </c>
    </row>
    <row r="27" customFormat="false" ht="15" hidden="false" customHeight="false" outlineLevel="0" collapsed="false">
      <c r="A27" s="3" t="n">
        <v>1925</v>
      </c>
      <c r="B27" s="3" t="n">
        <v>0</v>
      </c>
      <c r="C27" s="3" t="n">
        <v>0.04</v>
      </c>
      <c r="D27" s="3" t="n">
        <v>0.31</v>
      </c>
      <c r="E27" s="3" t="n">
        <v>0.06</v>
      </c>
      <c r="F27" s="3" t="n">
        <v>0</v>
      </c>
      <c r="G27" s="3" t="n">
        <v>0.29</v>
      </c>
      <c r="H27" s="3" t="n">
        <v>4</v>
      </c>
      <c r="I27" s="4" t="n">
        <f aca="false">B27+C27+D27</f>
        <v>0.35</v>
      </c>
      <c r="J27" s="4" t="n">
        <f aca="false">I27-E27</f>
        <v>0.29</v>
      </c>
      <c r="K27" s="4" t="n">
        <f aca="false">G27-J27</f>
        <v>0</v>
      </c>
      <c r="L27" s="5" t="n">
        <f aca="false">IF(I27=0,0,E27/I27*100)</f>
        <v>17.1428571428571</v>
      </c>
      <c r="M27" s="5" t="n">
        <f aca="false">IF(E27=0,0,F27/E27*100)</f>
        <v>0</v>
      </c>
      <c r="N27" s="5" t="n">
        <f aca="false">IF(G26=0,0,(G27-G26)/G26*100)</f>
        <v>3.57142857142855</v>
      </c>
      <c r="O27" s="5" t="n">
        <f aca="false">IF(I27=0,0,B27/I27*100)</f>
        <v>0</v>
      </c>
      <c r="P27" s="3" t="str">
        <f aca="false">IF(A27&lt;1950,"Pre-plastic (1900-1949)",IF(A27&lt;1990,"Plastic boom (1950-1989)","Modern (1990-2026)"))</f>
        <v>Pre-plastic (1900-1949)</v>
      </c>
    </row>
    <row r="28" customFormat="false" ht="15" hidden="false" customHeight="false" outlineLevel="0" collapsed="false">
      <c r="A28" s="3" t="n">
        <v>1926</v>
      </c>
      <c r="B28" s="3" t="n">
        <v>0</v>
      </c>
      <c r="C28" s="3" t="n">
        <v>0.04</v>
      </c>
      <c r="D28" s="3" t="n">
        <v>0.31</v>
      </c>
      <c r="E28" s="3" t="n">
        <v>0.06</v>
      </c>
      <c r="F28" s="3" t="n">
        <v>0</v>
      </c>
      <c r="G28" s="3" t="n">
        <v>0.29</v>
      </c>
      <c r="H28" s="3" t="n">
        <v>4</v>
      </c>
      <c r="I28" s="4" t="n">
        <f aca="false">B28+C28+D28</f>
        <v>0.35</v>
      </c>
      <c r="J28" s="4" t="n">
        <f aca="false">I28-E28</f>
        <v>0.29</v>
      </c>
      <c r="K28" s="4" t="n">
        <f aca="false">G28-J28</f>
        <v>0</v>
      </c>
      <c r="L28" s="5" t="n">
        <f aca="false">IF(I28=0,0,E28/I28*100)</f>
        <v>17.1428571428571</v>
      </c>
      <c r="M28" s="5" t="n">
        <f aca="false">IF(E28=0,0,F28/E28*100)</f>
        <v>0</v>
      </c>
      <c r="N28" s="5" t="n">
        <f aca="false">IF(G27=0,0,(G28-G27)/G27*100)</f>
        <v>0</v>
      </c>
      <c r="O28" s="5" t="n">
        <f aca="false">IF(I28=0,0,B28/I28*100)</f>
        <v>0</v>
      </c>
      <c r="P28" s="3" t="str">
        <f aca="false">IF(A28&lt;1950,"Pre-plastic (1900-1949)",IF(A28&lt;1990,"Plastic boom (1950-1989)","Modern (1990-2026)"))</f>
        <v>Pre-plastic (1900-1949)</v>
      </c>
    </row>
    <row r="29" customFormat="false" ht="15" hidden="false" customHeight="false" outlineLevel="0" collapsed="false">
      <c r="A29" s="3" t="n">
        <v>1927</v>
      </c>
      <c r="B29" s="3" t="n">
        <v>0</v>
      </c>
      <c r="C29" s="3" t="n">
        <v>0.04</v>
      </c>
      <c r="D29" s="3" t="n">
        <v>0.32</v>
      </c>
      <c r="E29" s="3" t="n">
        <v>0.06</v>
      </c>
      <c r="F29" s="3" t="n">
        <v>0</v>
      </c>
      <c r="G29" s="3" t="n">
        <v>0.3</v>
      </c>
      <c r="H29" s="3" t="n">
        <v>4</v>
      </c>
      <c r="I29" s="4" t="n">
        <f aca="false">B29+C29+D29</f>
        <v>0.36</v>
      </c>
      <c r="J29" s="4" t="n">
        <f aca="false">I29-E29</f>
        <v>0.3</v>
      </c>
      <c r="K29" s="4" t="n">
        <f aca="false">G29-J29</f>
        <v>0</v>
      </c>
      <c r="L29" s="5" t="n">
        <f aca="false">IF(I29=0,0,E29/I29*100)</f>
        <v>16.6666666666667</v>
      </c>
      <c r="M29" s="5" t="n">
        <f aca="false">IF(E29=0,0,F29/E29*100)</f>
        <v>0</v>
      </c>
      <c r="N29" s="5" t="n">
        <f aca="false">IF(G28=0,0,(G29-G28)/G28*100)</f>
        <v>3.44827586206897</v>
      </c>
      <c r="O29" s="5" t="n">
        <f aca="false">IF(I29=0,0,B29/I29*100)</f>
        <v>0</v>
      </c>
      <c r="P29" s="3" t="str">
        <f aca="false">IF(A29&lt;1950,"Pre-plastic (1900-1949)",IF(A29&lt;1990,"Plastic boom (1950-1989)","Modern (1990-2026)"))</f>
        <v>Pre-plastic (1900-1949)</v>
      </c>
    </row>
    <row r="30" customFormat="false" ht="15" hidden="false" customHeight="false" outlineLevel="0" collapsed="false">
      <c r="A30" s="3" t="n">
        <v>1928</v>
      </c>
      <c r="B30" s="3" t="n">
        <v>0</v>
      </c>
      <c r="C30" s="3" t="n">
        <v>0.04</v>
      </c>
      <c r="D30" s="3" t="n">
        <v>0.33</v>
      </c>
      <c r="E30" s="3" t="n">
        <v>0.06</v>
      </c>
      <c r="F30" s="3" t="n">
        <v>0</v>
      </c>
      <c r="G30" s="3" t="n">
        <v>0.31</v>
      </c>
      <c r="H30" s="3" t="n">
        <v>4</v>
      </c>
      <c r="I30" s="4" t="n">
        <f aca="false">B30+C30+D30</f>
        <v>0.37</v>
      </c>
      <c r="J30" s="4" t="n">
        <f aca="false">I30-E30</f>
        <v>0.31</v>
      </c>
      <c r="K30" s="4" t="n">
        <f aca="false">G30-J30</f>
        <v>0</v>
      </c>
      <c r="L30" s="5" t="n">
        <f aca="false">IF(I30=0,0,E30/I30*100)</f>
        <v>16.2162162162162</v>
      </c>
      <c r="M30" s="5" t="n">
        <f aca="false">IF(E30=0,0,F30/E30*100)</f>
        <v>0</v>
      </c>
      <c r="N30" s="5" t="n">
        <f aca="false">IF(G29=0,0,(G30-G29)/G29*100)</f>
        <v>3.33333333333334</v>
      </c>
      <c r="O30" s="5" t="n">
        <f aca="false">IF(I30=0,0,B30/I30*100)</f>
        <v>0</v>
      </c>
      <c r="P30" s="3" t="str">
        <f aca="false">IF(A30&lt;1950,"Pre-plastic (1900-1949)",IF(A30&lt;1990,"Plastic boom (1950-1989)","Modern (1990-2026)"))</f>
        <v>Pre-plastic (1900-1949)</v>
      </c>
    </row>
    <row r="31" customFormat="false" ht="15" hidden="false" customHeight="false" outlineLevel="0" collapsed="false">
      <c r="A31" s="3" t="n">
        <v>1929</v>
      </c>
      <c r="B31" s="3" t="n">
        <v>0</v>
      </c>
      <c r="C31" s="3" t="n">
        <v>0.04</v>
      </c>
      <c r="D31" s="3" t="n">
        <v>0.34</v>
      </c>
      <c r="E31" s="3" t="n">
        <v>0.07</v>
      </c>
      <c r="F31" s="3" t="n">
        <v>0</v>
      </c>
      <c r="G31" s="3" t="n">
        <v>0.31</v>
      </c>
      <c r="H31" s="3" t="n">
        <v>4</v>
      </c>
      <c r="I31" s="4" t="n">
        <f aca="false">B31+C31+D31</f>
        <v>0.38</v>
      </c>
      <c r="J31" s="4" t="n">
        <f aca="false">I31-E31</f>
        <v>0.31</v>
      </c>
      <c r="K31" s="4" t="n">
        <f aca="false">G31-J31</f>
        <v>0</v>
      </c>
      <c r="L31" s="5" t="n">
        <f aca="false">IF(I31=0,0,E31/I31*100)</f>
        <v>18.421052631579</v>
      </c>
      <c r="M31" s="5" t="n">
        <f aca="false">IF(E31=0,0,F31/E31*100)</f>
        <v>0</v>
      </c>
      <c r="N31" s="5" t="n">
        <f aca="false">IF(G30=0,0,(G31-G30)/G30*100)</f>
        <v>0</v>
      </c>
      <c r="O31" s="5" t="n">
        <f aca="false">IF(I31=0,0,B31/I31*100)</f>
        <v>0</v>
      </c>
      <c r="P31" s="3" t="str">
        <f aca="false">IF(A31&lt;1950,"Pre-plastic (1900-1949)",IF(A31&lt;1990,"Plastic boom (1950-1989)","Modern (1990-2026)"))</f>
        <v>Pre-plastic (1900-1949)</v>
      </c>
    </row>
    <row r="32" customFormat="false" ht="15" hidden="false" customHeight="false" outlineLevel="0" collapsed="false">
      <c r="A32" s="3" t="n">
        <v>1930</v>
      </c>
      <c r="B32" s="3" t="n">
        <v>0</v>
      </c>
      <c r="C32" s="3" t="n">
        <v>0.04</v>
      </c>
      <c r="D32" s="3" t="n">
        <v>0.35</v>
      </c>
      <c r="E32" s="3" t="n">
        <v>0.07</v>
      </c>
      <c r="F32" s="3" t="n">
        <v>0</v>
      </c>
      <c r="G32" s="3" t="n">
        <v>0.32</v>
      </c>
      <c r="H32" s="3" t="n">
        <v>4</v>
      </c>
      <c r="I32" s="4" t="n">
        <f aca="false">B32+C32+D32</f>
        <v>0.39</v>
      </c>
      <c r="J32" s="4" t="n">
        <f aca="false">I32-E32</f>
        <v>0.32</v>
      </c>
      <c r="K32" s="4" t="n">
        <f aca="false">G32-J32</f>
        <v>0</v>
      </c>
      <c r="L32" s="5" t="n">
        <f aca="false">IF(I32=0,0,E32/I32*100)</f>
        <v>17.948717948718</v>
      </c>
      <c r="M32" s="5" t="n">
        <f aca="false">IF(E32=0,0,F32/E32*100)</f>
        <v>0</v>
      </c>
      <c r="N32" s="5" t="n">
        <f aca="false">IF(G31=0,0,(G32-G31)/G31*100)</f>
        <v>3.22580645161291</v>
      </c>
      <c r="O32" s="5" t="n">
        <f aca="false">IF(I32=0,0,B32/I32*100)</f>
        <v>0</v>
      </c>
      <c r="P32" s="3" t="str">
        <f aca="false">IF(A32&lt;1950,"Pre-plastic (1900-1949)",IF(A32&lt;1990,"Plastic boom (1950-1989)","Modern (1990-2026)"))</f>
        <v>Pre-plastic (1900-1949)</v>
      </c>
    </row>
    <row r="33" customFormat="false" ht="15" hidden="false" customHeight="false" outlineLevel="0" collapsed="false">
      <c r="A33" s="3" t="n">
        <v>1931</v>
      </c>
      <c r="B33" s="3" t="n">
        <v>0</v>
      </c>
      <c r="C33" s="3" t="n">
        <v>0.04</v>
      </c>
      <c r="D33" s="3" t="n">
        <v>0.36</v>
      </c>
      <c r="E33" s="3" t="n">
        <v>0.07</v>
      </c>
      <c r="F33" s="3" t="n">
        <v>0</v>
      </c>
      <c r="G33" s="3" t="n">
        <v>0.33</v>
      </c>
      <c r="H33" s="3" t="n">
        <v>4</v>
      </c>
      <c r="I33" s="4" t="n">
        <f aca="false">B33+C33+D33</f>
        <v>0.4</v>
      </c>
      <c r="J33" s="4" t="n">
        <f aca="false">I33-E33</f>
        <v>0.33</v>
      </c>
      <c r="K33" s="4" t="n">
        <f aca="false">G33-J33</f>
        <v>0</v>
      </c>
      <c r="L33" s="5" t="n">
        <f aca="false">IF(I33=0,0,E33/I33*100)</f>
        <v>17.5</v>
      </c>
      <c r="M33" s="5" t="n">
        <f aca="false">IF(E33=0,0,F33/E33*100)</f>
        <v>0</v>
      </c>
      <c r="N33" s="5" t="n">
        <f aca="false">IF(G32=0,0,(G33-G32)/G32*100)</f>
        <v>3.125</v>
      </c>
      <c r="O33" s="5" t="n">
        <f aca="false">IF(I33=0,0,B33/I33*100)</f>
        <v>0</v>
      </c>
      <c r="P33" s="3" t="str">
        <f aca="false">IF(A33&lt;1950,"Pre-plastic (1900-1949)",IF(A33&lt;1990,"Plastic boom (1950-1989)","Modern (1990-2026)"))</f>
        <v>Pre-plastic (1900-1949)</v>
      </c>
    </row>
    <row r="34" customFormat="false" ht="15" hidden="false" customHeight="false" outlineLevel="0" collapsed="false">
      <c r="A34" s="3" t="n">
        <v>1932</v>
      </c>
      <c r="B34" s="3" t="n">
        <v>0</v>
      </c>
      <c r="C34" s="3" t="n">
        <v>0.04</v>
      </c>
      <c r="D34" s="3" t="n">
        <v>0.36</v>
      </c>
      <c r="E34" s="3" t="n">
        <v>0.07</v>
      </c>
      <c r="F34" s="3" t="n">
        <v>0</v>
      </c>
      <c r="G34" s="3" t="n">
        <v>0.33</v>
      </c>
      <c r="H34" s="3" t="n">
        <v>4</v>
      </c>
      <c r="I34" s="4" t="n">
        <f aca="false">B34+C34+D34</f>
        <v>0.4</v>
      </c>
      <c r="J34" s="4" t="n">
        <f aca="false">I34-E34</f>
        <v>0.33</v>
      </c>
      <c r="K34" s="4" t="n">
        <f aca="false">G34-J34</f>
        <v>0</v>
      </c>
      <c r="L34" s="5" t="n">
        <f aca="false">IF(I34=0,0,E34/I34*100)</f>
        <v>17.5</v>
      </c>
      <c r="M34" s="5" t="n">
        <f aca="false">IF(E34=0,0,F34/E34*100)</f>
        <v>0</v>
      </c>
      <c r="N34" s="5" t="n">
        <f aca="false">IF(G33=0,0,(G34-G33)/G33*100)</f>
        <v>0</v>
      </c>
      <c r="O34" s="5" t="n">
        <f aca="false">IF(I34=0,0,B34/I34*100)</f>
        <v>0</v>
      </c>
      <c r="P34" s="3" t="str">
        <f aca="false">IF(A34&lt;1950,"Pre-plastic (1900-1949)",IF(A34&lt;1990,"Plastic boom (1950-1989)","Modern (1990-2026)"))</f>
        <v>Pre-plastic (1900-1949)</v>
      </c>
    </row>
    <row r="35" customFormat="false" ht="15" hidden="false" customHeight="false" outlineLevel="0" collapsed="false">
      <c r="A35" s="3" t="n">
        <v>1933</v>
      </c>
      <c r="B35" s="3" t="n">
        <v>0</v>
      </c>
      <c r="C35" s="3" t="n">
        <v>0.04</v>
      </c>
      <c r="D35" s="3" t="n">
        <v>0.37</v>
      </c>
      <c r="E35" s="3" t="n">
        <v>0.08</v>
      </c>
      <c r="F35" s="3" t="n">
        <v>0</v>
      </c>
      <c r="G35" s="3" t="n">
        <v>0.33</v>
      </c>
      <c r="H35" s="3" t="n">
        <v>4</v>
      </c>
      <c r="I35" s="4" t="n">
        <f aca="false">B35+C35+D35</f>
        <v>0.41</v>
      </c>
      <c r="J35" s="4" t="n">
        <f aca="false">I35-E35</f>
        <v>0.33</v>
      </c>
      <c r="K35" s="4" t="n">
        <f aca="false">G35-J35</f>
        <v>0</v>
      </c>
      <c r="L35" s="5" t="n">
        <f aca="false">IF(I35=0,0,E35/I35*100)</f>
        <v>19.5121951219512</v>
      </c>
      <c r="M35" s="5" t="n">
        <f aca="false">IF(E35=0,0,F35/E35*100)</f>
        <v>0</v>
      </c>
      <c r="N35" s="5" t="n">
        <f aca="false">IF(G34=0,0,(G35-G34)/G34*100)</f>
        <v>0</v>
      </c>
      <c r="O35" s="5" t="n">
        <f aca="false">IF(I35=0,0,B35/I35*100)</f>
        <v>0</v>
      </c>
      <c r="P35" s="3" t="str">
        <f aca="false">IF(A35&lt;1950,"Pre-plastic (1900-1949)",IF(A35&lt;1990,"Plastic boom (1950-1989)","Modern (1990-2026)"))</f>
        <v>Pre-plastic (1900-1949)</v>
      </c>
    </row>
    <row r="36" customFormat="false" ht="15" hidden="false" customHeight="false" outlineLevel="0" collapsed="false">
      <c r="A36" s="3" t="n">
        <v>1934</v>
      </c>
      <c r="B36" s="3" t="n">
        <v>0</v>
      </c>
      <c r="C36" s="3" t="n">
        <v>0.04</v>
      </c>
      <c r="D36" s="3" t="n">
        <v>0.38</v>
      </c>
      <c r="E36" s="3" t="n">
        <v>0.08</v>
      </c>
      <c r="F36" s="3" t="n">
        <v>0</v>
      </c>
      <c r="G36" s="3" t="n">
        <v>0.34</v>
      </c>
      <c r="H36" s="3" t="n">
        <v>4</v>
      </c>
      <c r="I36" s="4" t="n">
        <f aca="false">B36+C36+D36</f>
        <v>0.42</v>
      </c>
      <c r="J36" s="4" t="n">
        <f aca="false">I36-E36</f>
        <v>0.34</v>
      </c>
      <c r="K36" s="4" t="n">
        <f aca="false">G36-J36</f>
        <v>0</v>
      </c>
      <c r="L36" s="5" t="n">
        <f aca="false">IF(I36=0,0,E36/I36*100)</f>
        <v>19.0476190476191</v>
      </c>
      <c r="M36" s="5" t="n">
        <f aca="false">IF(E36=0,0,F36/E36*100)</f>
        <v>0</v>
      </c>
      <c r="N36" s="5" t="n">
        <f aca="false">IF(G35=0,0,(G36-G35)/G35*100)</f>
        <v>3.03030303030303</v>
      </c>
      <c r="O36" s="5" t="n">
        <f aca="false">IF(I36=0,0,B36/I36*100)</f>
        <v>0</v>
      </c>
      <c r="P36" s="3" t="str">
        <f aca="false">IF(A36&lt;1950,"Pre-plastic (1900-1949)",IF(A36&lt;1990,"Plastic boom (1950-1989)","Modern (1990-2026)"))</f>
        <v>Pre-plastic (1900-1949)</v>
      </c>
    </row>
    <row r="37" customFormat="false" ht="15" hidden="false" customHeight="false" outlineLevel="0" collapsed="false">
      <c r="A37" s="3" t="n">
        <v>1935</v>
      </c>
      <c r="B37" s="3" t="n">
        <v>0</v>
      </c>
      <c r="C37" s="3" t="n">
        <v>0.05</v>
      </c>
      <c r="D37" s="3" t="n">
        <v>0.39</v>
      </c>
      <c r="E37" s="3" t="n">
        <v>0.08</v>
      </c>
      <c r="F37" s="3" t="n">
        <v>0</v>
      </c>
      <c r="G37" s="3" t="n">
        <v>0.36</v>
      </c>
      <c r="H37" s="3" t="n">
        <v>5</v>
      </c>
      <c r="I37" s="4" t="n">
        <f aca="false">B37+C37+D37</f>
        <v>0.44</v>
      </c>
      <c r="J37" s="4" t="n">
        <f aca="false">I37-E37</f>
        <v>0.36</v>
      </c>
      <c r="K37" s="4" t="n">
        <f aca="false">G37-J37</f>
        <v>0</v>
      </c>
      <c r="L37" s="5" t="n">
        <f aca="false">IF(I37=0,0,E37/I37*100)</f>
        <v>18.1818181818182</v>
      </c>
      <c r="M37" s="5" t="n">
        <f aca="false">IF(E37=0,0,F37/E37*100)</f>
        <v>0</v>
      </c>
      <c r="N37" s="5" t="n">
        <f aca="false">IF(G36=0,0,(G37-G36)/G36*100)</f>
        <v>5.88235294117646</v>
      </c>
      <c r="O37" s="5" t="n">
        <f aca="false">IF(I37=0,0,B37/I37*100)</f>
        <v>0</v>
      </c>
      <c r="P37" s="3" t="str">
        <f aca="false">IF(A37&lt;1950,"Pre-plastic (1900-1949)",IF(A37&lt;1990,"Plastic boom (1950-1989)","Modern (1990-2026)"))</f>
        <v>Pre-plastic (1900-1949)</v>
      </c>
    </row>
    <row r="38" customFormat="false" ht="15" hidden="false" customHeight="false" outlineLevel="0" collapsed="false">
      <c r="A38" s="3" t="n">
        <v>1936</v>
      </c>
      <c r="B38" s="3" t="n">
        <v>0</v>
      </c>
      <c r="C38" s="3" t="n">
        <v>0.05</v>
      </c>
      <c r="D38" s="3" t="n">
        <v>0.4</v>
      </c>
      <c r="E38" s="3" t="n">
        <v>0.08</v>
      </c>
      <c r="F38" s="3" t="n">
        <v>0</v>
      </c>
      <c r="G38" s="3" t="n">
        <v>0.37</v>
      </c>
      <c r="H38" s="3" t="n">
        <v>5</v>
      </c>
      <c r="I38" s="4" t="n">
        <f aca="false">B38+C38+D38</f>
        <v>0.45</v>
      </c>
      <c r="J38" s="4" t="n">
        <f aca="false">I38-E38</f>
        <v>0.37</v>
      </c>
      <c r="K38" s="4" t="n">
        <f aca="false">G38-J38</f>
        <v>0</v>
      </c>
      <c r="L38" s="5" t="n">
        <f aca="false">IF(I38=0,0,E38/I38*100)</f>
        <v>17.7777777777778</v>
      </c>
      <c r="M38" s="5" t="n">
        <f aca="false">IF(E38=0,0,F38/E38*100)</f>
        <v>0</v>
      </c>
      <c r="N38" s="5" t="n">
        <f aca="false">IF(G37=0,0,(G38-G37)/G37*100)</f>
        <v>2.77777777777778</v>
      </c>
      <c r="O38" s="5" t="n">
        <f aca="false">IF(I38=0,0,B38/I38*100)</f>
        <v>0</v>
      </c>
      <c r="P38" s="3" t="str">
        <f aca="false">IF(A38&lt;1950,"Pre-plastic (1900-1949)",IF(A38&lt;1990,"Plastic boom (1950-1989)","Modern (1990-2026)"))</f>
        <v>Pre-plastic (1900-1949)</v>
      </c>
    </row>
    <row r="39" customFormat="false" ht="15" hidden="false" customHeight="false" outlineLevel="0" collapsed="false">
      <c r="A39" s="3" t="n">
        <v>1937</v>
      </c>
      <c r="B39" s="3" t="n">
        <v>0</v>
      </c>
      <c r="C39" s="3" t="n">
        <v>0.05</v>
      </c>
      <c r="D39" s="3" t="n">
        <v>0.4</v>
      </c>
      <c r="E39" s="3" t="n">
        <v>0.08</v>
      </c>
      <c r="F39" s="3" t="n">
        <v>0</v>
      </c>
      <c r="G39" s="3" t="n">
        <v>0.37</v>
      </c>
      <c r="H39" s="3" t="n">
        <v>5</v>
      </c>
      <c r="I39" s="4" t="n">
        <f aca="false">B39+C39+D39</f>
        <v>0.45</v>
      </c>
      <c r="J39" s="4" t="n">
        <f aca="false">I39-E39</f>
        <v>0.37</v>
      </c>
      <c r="K39" s="4" t="n">
        <f aca="false">G39-J39</f>
        <v>0</v>
      </c>
      <c r="L39" s="5" t="n">
        <f aca="false">IF(I39=0,0,E39/I39*100)</f>
        <v>17.7777777777778</v>
      </c>
      <c r="M39" s="5" t="n">
        <f aca="false">IF(E39=0,0,F39/E39*100)</f>
        <v>0</v>
      </c>
      <c r="N39" s="5" t="n">
        <f aca="false">IF(G38=0,0,(G39-G38)/G38*100)</f>
        <v>0</v>
      </c>
      <c r="O39" s="5" t="n">
        <f aca="false">IF(I39=0,0,B39/I39*100)</f>
        <v>0</v>
      </c>
      <c r="P39" s="3" t="str">
        <f aca="false">IF(A39&lt;1950,"Pre-plastic (1900-1949)",IF(A39&lt;1990,"Plastic boom (1950-1989)","Modern (1990-2026)"))</f>
        <v>Pre-plastic (1900-1949)</v>
      </c>
    </row>
    <row r="40" customFormat="false" ht="15" hidden="false" customHeight="false" outlineLevel="0" collapsed="false">
      <c r="A40" s="3" t="n">
        <v>1938</v>
      </c>
      <c r="B40" s="3" t="n">
        <v>0</v>
      </c>
      <c r="C40" s="3" t="n">
        <v>0.05</v>
      </c>
      <c r="D40" s="3" t="n">
        <v>0.41</v>
      </c>
      <c r="E40" s="3" t="n">
        <v>0.09</v>
      </c>
      <c r="F40" s="3" t="n">
        <v>0</v>
      </c>
      <c r="G40" s="3" t="n">
        <v>0.37</v>
      </c>
      <c r="H40" s="3" t="n">
        <v>5</v>
      </c>
      <c r="I40" s="4" t="n">
        <f aca="false">B40+C40+D40</f>
        <v>0.46</v>
      </c>
      <c r="J40" s="4" t="n">
        <f aca="false">I40-E40</f>
        <v>0.37</v>
      </c>
      <c r="K40" s="4" t="n">
        <f aca="false">G40-J40</f>
        <v>0</v>
      </c>
      <c r="L40" s="5" t="n">
        <f aca="false">IF(I40=0,0,E40/I40*100)</f>
        <v>19.5652173913043</v>
      </c>
      <c r="M40" s="5" t="n">
        <f aca="false">IF(E40=0,0,F40/E40*100)</f>
        <v>0</v>
      </c>
      <c r="N40" s="5" t="n">
        <f aca="false">IF(G39=0,0,(G40-G39)/G39*100)</f>
        <v>0</v>
      </c>
      <c r="O40" s="5" t="n">
        <f aca="false">IF(I40=0,0,B40/I40*100)</f>
        <v>0</v>
      </c>
      <c r="P40" s="3" t="str">
        <f aca="false">IF(A40&lt;1950,"Pre-plastic (1900-1949)",IF(A40&lt;1990,"Plastic boom (1950-1989)","Modern (1990-2026)"))</f>
        <v>Pre-plastic (1900-1949)</v>
      </c>
    </row>
    <row r="41" customFormat="false" ht="15" hidden="false" customHeight="false" outlineLevel="0" collapsed="false">
      <c r="A41" s="3" t="n">
        <v>1939</v>
      </c>
      <c r="B41" s="3" t="n">
        <v>0</v>
      </c>
      <c r="C41" s="3" t="n">
        <v>0.05</v>
      </c>
      <c r="D41" s="3" t="n">
        <v>0.42</v>
      </c>
      <c r="E41" s="3" t="n">
        <v>0.09</v>
      </c>
      <c r="F41" s="3" t="n">
        <v>0</v>
      </c>
      <c r="G41" s="3" t="n">
        <v>0.38</v>
      </c>
      <c r="H41" s="3" t="n">
        <v>5</v>
      </c>
      <c r="I41" s="4" t="n">
        <f aca="false">B41+C41+D41</f>
        <v>0.47</v>
      </c>
      <c r="J41" s="4" t="n">
        <f aca="false">I41-E41</f>
        <v>0.38</v>
      </c>
      <c r="K41" s="4" t="n">
        <f aca="false">G41-J41</f>
        <v>0</v>
      </c>
      <c r="L41" s="5" t="n">
        <f aca="false">IF(I41=0,0,E41/I41*100)</f>
        <v>19.1489361702128</v>
      </c>
      <c r="M41" s="5" t="n">
        <f aca="false">IF(E41=0,0,F41/E41*100)</f>
        <v>0</v>
      </c>
      <c r="N41" s="5" t="n">
        <f aca="false">IF(G40=0,0,(G41-G40)/G40*100)</f>
        <v>2.70270270270271</v>
      </c>
      <c r="O41" s="5" t="n">
        <f aca="false">IF(I41=0,0,B41/I41*100)</f>
        <v>0</v>
      </c>
      <c r="P41" s="3" t="str">
        <f aca="false">IF(A41&lt;1950,"Pre-plastic (1900-1949)",IF(A41&lt;1990,"Plastic boom (1950-1989)","Modern (1990-2026)"))</f>
        <v>Pre-plastic (1900-1949)</v>
      </c>
    </row>
    <row r="42" customFormat="false" ht="15" hidden="false" customHeight="false" outlineLevel="0" collapsed="false">
      <c r="A42" s="3" t="n">
        <v>1940</v>
      </c>
      <c r="B42" s="3" t="n">
        <v>0</v>
      </c>
      <c r="C42" s="3" t="n">
        <v>0.05</v>
      </c>
      <c r="D42" s="3" t="n">
        <v>0.43</v>
      </c>
      <c r="E42" s="3" t="n">
        <v>0.09</v>
      </c>
      <c r="F42" s="3" t="n">
        <v>0</v>
      </c>
      <c r="G42" s="3" t="n">
        <v>0.39</v>
      </c>
      <c r="H42" s="3" t="n">
        <v>5</v>
      </c>
      <c r="I42" s="4" t="n">
        <f aca="false">B42+C42+D42</f>
        <v>0.48</v>
      </c>
      <c r="J42" s="4" t="n">
        <f aca="false">I42-E42</f>
        <v>0.39</v>
      </c>
      <c r="K42" s="4" t="n">
        <f aca="false">G42-J42</f>
        <v>0</v>
      </c>
      <c r="L42" s="5" t="n">
        <f aca="false">IF(I42=0,0,E42/I42*100)</f>
        <v>18.75</v>
      </c>
      <c r="M42" s="5" t="n">
        <f aca="false">IF(E42=0,0,F42/E42*100)</f>
        <v>0</v>
      </c>
      <c r="N42" s="5" t="n">
        <f aca="false">IF(G41=0,0,(G42-G41)/G41*100)</f>
        <v>2.63157894736842</v>
      </c>
      <c r="O42" s="5" t="n">
        <f aca="false">IF(I42=0,0,B42/I42*100)</f>
        <v>0</v>
      </c>
      <c r="P42" s="3" t="str">
        <f aca="false">IF(A42&lt;1950,"Pre-plastic (1900-1949)",IF(A42&lt;1990,"Plastic boom (1950-1989)","Modern (1990-2026)"))</f>
        <v>Pre-plastic (1900-1949)</v>
      </c>
    </row>
    <row r="43" customFormat="false" ht="15" hidden="false" customHeight="false" outlineLevel="0" collapsed="false">
      <c r="A43" s="3" t="n">
        <v>1941</v>
      </c>
      <c r="B43" s="3" t="n">
        <v>0</v>
      </c>
      <c r="C43" s="3" t="n">
        <v>0.05</v>
      </c>
      <c r="D43" s="3" t="n">
        <v>0.44</v>
      </c>
      <c r="E43" s="3" t="n">
        <v>0.09</v>
      </c>
      <c r="F43" s="3" t="n">
        <v>0</v>
      </c>
      <c r="G43" s="3" t="n">
        <v>0.4</v>
      </c>
      <c r="H43" s="3" t="n">
        <v>5</v>
      </c>
      <c r="I43" s="4" t="n">
        <f aca="false">B43+C43+D43</f>
        <v>0.49</v>
      </c>
      <c r="J43" s="4" t="n">
        <f aca="false">I43-E43</f>
        <v>0.4</v>
      </c>
      <c r="K43" s="4" t="n">
        <f aca="false">G43-J43</f>
        <v>0</v>
      </c>
      <c r="L43" s="5" t="n">
        <f aca="false">IF(I43=0,0,E43/I43*100)</f>
        <v>18.3673469387755</v>
      </c>
      <c r="M43" s="5" t="n">
        <f aca="false">IF(E43=0,0,F43/E43*100)</f>
        <v>0</v>
      </c>
      <c r="N43" s="5" t="n">
        <f aca="false">IF(G42=0,0,(G43-G42)/G42*100)</f>
        <v>2.56410256410257</v>
      </c>
      <c r="O43" s="5" t="n">
        <f aca="false">IF(I43=0,0,B43/I43*100)</f>
        <v>0</v>
      </c>
      <c r="P43" s="3" t="str">
        <f aca="false">IF(A43&lt;1950,"Pre-plastic (1900-1949)",IF(A43&lt;1990,"Plastic boom (1950-1989)","Modern (1990-2026)"))</f>
        <v>Pre-plastic (1900-1949)</v>
      </c>
    </row>
    <row r="44" customFormat="false" ht="15" hidden="false" customHeight="false" outlineLevel="0" collapsed="false">
      <c r="A44" s="3" t="n">
        <v>1942</v>
      </c>
      <c r="B44" s="3" t="n">
        <v>0</v>
      </c>
      <c r="C44" s="3" t="n">
        <v>0.05</v>
      </c>
      <c r="D44" s="3" t="n">
        <v>0.45</v>
      </c>
      <c r="E44" s="3" t="n">
        <v>0.1</v>
      </c>
      <c r="F44" s="3" t="n">
        <v>0</v>
      </c>
      <c r="G44" s="3" t="n">
        <v>0.4</v>
      </c>
      <c r="H44" s="3" t="n">
        <v>5</v>
      </c>
      <c r="I44" s="4" t="n">
        <f aca="false">B44+C44+D44</f>
        <v>0.5</v>
      </c>
      <c r="J44" s="4" t="n">
        <f aca="false">I44-E44</f>
        <v>0.4</v>
      </c>
      <c r="K44" s="4" t="n">
        <f aca="false">G44-J44</f>
        <v>0</v>
      </c>
      <c r="L44" s="5" t="n">
        <f aca="false">IF(I44=0,0,E44/I44*100)</f>
        <v>20</v>
      </c>
      <c r="M44" s="5" t="n">
        <f aca="false">IF(E44=0,0,F44/E44*100)</f>
        <v>0</v>
      </c>
      <c r="N44" s="5" t="n">
        <f aca="false">IF(G43=0,0,(G44-G43)/G43*100)</f>
        <v>0</v>
      </c>
      <c r="O44" s="5" t="n">
        <f aca="false">IF(I44=0,0,B44/I44*100)</f>
        <v>0</v>
      </c>
      <c r="P44" s="3" t="str">
        <f aca="false">IF(A44&lt;1950,"Pre-plastic (1900-1949)",IF(A44&lt;1990,"Plastic boom (1950-1989)","Modern (1990-2026)"))</f>
        <v>Pre-plastic (1900-1949)</v>
      </c>
    </row>
    <row r="45" customFormat="false" ht="15" hidden="false" customHeight="false" outlineLevel="0" collapsed="false">
      <c r="A45" s="3" t="n">
        <v>1943</v>
      </c>
      <c r="B45" s="3" t="n">
        <v>0</v>
      </c>
      <c r="C45" s="3" t="n">
        <v>0.05</v>
      </c>
      <c r="D45" s="3" t="n">
        <v>0.45</v>
      </c>
      <c r="E45" s="3" t="n">
        <v>0.1</v>
      </c>
      <c r="F45" s="3" t="n">
        <v>0</v>
      </c>
      <c r="G45" s="3" t="n">
        <v>0.4</v>
      </c>
      <c r="H45" s="3" t="n">
        <v>5</v>
      </c>
      <c r="I45" s="4" t="n">
        <f aca="false">B45+C45+D45</f>
        <v>0.5</v>
      </c>
      <c r="J45" s="4" t="n">
        <f aca="false">I45-E45</f>
        <v>0.4</v>
      </c>
      <c r="K45" s="4" t="n">
        <f aca="false">G45-J45</f>
        <v>0</v>
      </c>
      <c r="L45" s="5" t="n">
        <f aca="false">IF(I45=0,0,E45/I45*100)</f>
        <v>20</v>
      </c>
      <c r="M45" s="5" t="n">
        <f aca="false">IF(E45=0,0,F45/E45*100)</f>
        <v>0</v>
      </c>
      <c r="N45" s="5" t="n">
        <f aca="false">IF(G44=0,0,(G45-G44)/G44*100)</f>
        <v>0</v>
      </c>
      <c r="O45" s="5" t="n">
        <f aca="false">IF(I45=0,0,B45/I45*100)</f>
        <v>0</v>
      </c>
      <c r="P45" s="3" t="str">
        <f aca="false">IF(A45&lt;1950,"Pre-plastic (1900-1949)",IF(A45&lt;1990,"Plastic boom (1950-1989)","Modern (1990-2026)"))</f>
        <v>Pre-plastic (1900-1949)</v>
      </c>
    </row>
    <row r="46" customFormat="false" ht="15" hidden="false" customHeight="false" outlineLevel="0" collapsed="false">
      <c r="A46" s="3" t="n">
        <v>1944</v>
      </c>
      <c r="B46" s="3" t="n">
        <v>0</v>
      </c>
      <c r="C46" s="3" t="n">
        <v>0.05</v>
      </c>
      <c r="D46" s="3" t="n">
        <v>0.46</v>
      </c>
      <c r="E46" s="3" t="n">
        <v>0.1</v>
      </c>
      <c r="F46" s="3" t="n">
        <v>0</v>
      </c>
      <c r="G46" s="3" t="n">
        <v>0.41</v>
      </c>
      <c r="H46" s="3" t="n">
        <v>5</v>
      </c>
      <c r="I46" s="4" t="n">
        <f aca="false">B46+C46+D46</f>
        <v>0.51</v>
      </c>
      <c r="J46" s="4" t="n">
        <f aca="false">I46-E46</f>
        <v>0.41</v>
      </c>
      <c r="K46" s="4" t="n">
        <f aca="false">G46-J46</f>
        <v>0</v>
      </c>
      <c r="L46" s="5" t="n">
        <f aca="false">IF(I46=0,0,E46/I46*100)</f>
        <v>19.6078431372549</v>
      </c>
      <c r="M46" s="5" t="n">
        <f aca="false">IF(E46=0,0,F46/E46*100)</f>
        <v>0</v>
      </c>
      <c r="N46" s="5" t="n">
        <f aca="false">IF(G45=0,0,(G46-G45)/G45*100)</f>
        <v>2.49999999999999</v>
      </c>
      <c r="O46" s="5" t="n">
        <f aca="false">IF(I46=0,0,B46/I46*100)</f>
        <v>0</v>
      </c>
      <c r="P46" s="3" t="str">
        <f aca="false">IF(A46&lt;1950,"Pre-plastic (1900-1949)",IF(A46&lt;1990,"Plastic boom (1950-1989)","Modern (1990-2026)"))</f>
        <v>Pre-plastic (1900-1949)</v>
      </c>
    </row>
    <row r="47" customFormat="false" ht="15" hidden="false" customHeight="false" outlineLevel="0" collapsed="false">
      <c r="A47" s="3" t="n">
        <v>1945</v>
      </c>
      <c r="B47" s="3" t="n">
        <v>0</v>
      </c>
      <c r="C47" s="3" t="n">
        <v>0.06</v>
      </c>
      <c r="D47" s="3" t="n">
        <v>0.47</v>
      </c>
      <c r="E47" s="3" t="n">
        <v>0.1</v>
      </c>
      <c r="F47" s="3" t="n">
        <v>0</v>
      </c>
      <c r="G47" s="3" t="n">
        <v>0.43</v>
      </c>
      <c r="H47" s="3" t="n">
        <v>6</v>
      </c>
      <c r="I47" s="4" t="n">
        <f aca="false">B47+C47+D47</f>
        <v>0.53</v>
      </c>
      <c r="J47" s="4" t="n">
        <f aca="false">I47-E47</f>
        <v>0.43</v>
      </c>
      <c r="K47" s="4" t="n">
        <f aca="false">G47-J47</f>
        <v>0</v>
      </c>
      <c r="L47" s="5" t="n">
        <f aca="false">IF(I47=0,0,E47/I47*100)</f>
        <v>18.8679245283019</v>
      </c>
      <c r="M47" s="5" t="n">
        <f aca="false">IF(E47=0,0,F47/E47*100)</f>
        <v>0</v>
      </c>
      <c r="N47" s="5" t="n">
        <f aca="false">IF(G46=0,0,(G47-G46)/G46*100)</f>
        <v>4.87804878048781</v>
      </c>
      <c r="O47" s="5" t="n">
        <f aca="false">IF(I47=0,0,B47/I47*100)</f>
        <v>0</v>
      </c>
      <c r="P47" s="3" t="str">
        <f aca="false">IF(A47&lt;1950,"Pre-plastic (1900-1949)",IF(A47&lt;1990,"Plastic boom (1950-1989)","Modern (1990-2026)"))</f>
        <v>Pre-plastic (1900-1949)</v>
      </c>
    </row>
    <row r="48" customFormat="false" ht="15" hidden="false" customHeight="false" outlineLevel="0" collapsed="false">
      <c r="A48" s="3" t="n">
        <v>1946</v>
      </c>
      <c r="B48" s="3" t="n">
        <v>0</v>
      </c>
      <c r="C48" s="3" t="n">
        <v>0.06</v>
      </c>
      <c r="D48" s="3" t="n">
        <v>0.48</v>
      </c>
      <c r="E48" s="3" t="n">
        <v>0.1</v>
      </c>
      <c r="F48" s="3" t="n">
        <v>0</v>
      </c>
      <c r="G48" s="3" t="n">
        <v>0.44</v>
      </c>
      <c r="H48" s="3" t="n">
        <v>6</v>
      </c>
      <c r="I48" s="4" t="n">
        <f aca="false">B48+C48+D48</f>
        <v>0.54</v>
      </c>
      <c r="J48" s="4" t="n">
        <f aca="false">I48-E48</f>
        <v>0.44</v>
      </c>
      <c r="K48" s="4" t="n">
        <f aca="false">G48-J48</f>
        <v>0</v>
      </c>
      <c r="L48" s="5" t="n">
        <f aca="false">IF(I48=0,0,E48/I48*100)</f>
        <v>18.5185185185185</v>
      </c>
      <c r="M48" s="5" t="n">
        <f aca="false">IF(E48=0,0,F48/E48*100)</f>
        <v>0</v>
      </c>
      <c r="N48" s="5" t="n">
        <f aca="false">IF(G47=0,0,(G48-G47)/G47*100)</f>
        <v>2.32558139534884</v>
      </c>
      <c r="O48" s="5" t="n">
        <f aca="false">IF(I48=0,0,B48/I48*100)</f>
        <v>0</v>
      </c>
      <c r="P48" s="3" t="str">
        <f aca="false">IF(A48&lt;1950,"Pre-plastic (1900-1949)",IF(A48&lt;1990,"Plastic boom (1950-1989)","Modern (1990-2026)"))</f>
        <v>Pre-plastic (1900-1949)</v>
      </c>
    </row>
    <row r="49" customFormat="false" ht="15" hidden="false" customHeight="false" outlineLevel="0" collapsed="false">
      <c r="A49" s="3" t="n">
        <v>1947</v>
      </c>
      <c r="B49" s="3" t="n">
        <v>0</v>
      </c>
      <c r="C49" s="3" t="n">
        <v>0.06</v>
      </c>
      <c r="D49" s="3" t="n">
        <v>0.49</v>
      </c>
      <c r="E49" s="3" t="n">
        <v>0.11</v>
      </c>
      <c r="F49" s="3" t="n">
        <v>0</v>
      </c>
      <c r="G49" s="3" t="n">
        <v>0.44</v>
      </c>
      <c r="H49" s="3" t="n">
        <v>6</v>
      </c>
      <c r="I49" s="4" t="n">
        <f aca="false">B49+C49+D49</f>
        <v>0.55</v>
      </c>
      <c r="J49" s="4" t="n">
        <f aca="false">I49-E49</f>
        <v>0.44</v>
      </c>
      <c r="K49" s="4" t="n">
        <f aca="false">G49-J49</f>
        <v>0</v>
      </c>
      <c r="L49" s="5" t="n">
        <f aca="false">IF(I49=0,0,E49/I49*100)</f>
        <v>20</v>
      </c>
      <c r="M49" s="5" t="n">
        <f aca="false">IF(E49=0,0,F49/E49*100)</f>
        <v>0</v>
      </c>
      <c r="N49" s="5" t="n">
        <f aca="false">IF(G48=0,0,(G49-G48)/G48*100)</f>
        <v>0</v>
      </c>
      <c r="O49" s="5" t="n">
        <f aca="false">IF(I49=0,0,B49/I49*100)</f>
        <v>0</v>
      </c>
      <c r="P49" s="3" t="str">
        <f aca="false">IF(A49&lt;1950,"Pre-plastic (1900-1949)",IF(A49&lt;1990,"Plastic boom (1950-1989)","Modern (1990-2026)"))</f>
        <v>Pre-plastic (1900-1949)</v>
      </c>
    </row>
    <row r="50" customFormat="false" ht="15" hidden="false" customHeight="false" outlineLevel="0" collapsed="false">
      <c r="A50" s="3" t="n">
        <v>1948</v>
      </c>
      <c r="B50" s="3" t="n">
        <v>0</v>
      </c>
      <c r="C50" s="3" t="n">
        <v>0.06</v>
      </c>
      <c r="D50" s="3" t="n">
        <v>0.49</v>
      </c>
      <c r="E50" s="3" t="n">
        <v>0.11</v>
      </c>
      <c r="F50" s="3" t="n">
        <v>0</v>
      </c>
      <c r="G50" s="3" t="n">
        <v>0.44</v>
      </c>
      <c r="H50" s="3" t="n">
        <v>6</v>
      </c>
      <c r="I50" s="4" t="n">
        <f aca="false">B50+C50+D50</f>
        <v>0.55</v>
      </c>
      <c r="J50" s="4" t="n">
        <f aca="false">I50-E50</f>
        <v>0.44</v>
      </c>
      <c r="K50" s="4" t="n">
        <f aca="false">G50-J50</f>
        <v>0</v>
      </c>
      <c r="L50" s="5" t="n">
        <f aca="false">IF(I50=0,0,E50/I50*100)</f>
        <v>20</v>
      </c>
      <c r="M50" s="5" t="n">
        <f aca="false">IF(E50=0,0,F50/E50*100)</f>
        <v>0</v>
      </c>
      <c r="N50" s="5" t="n">
        <f aca="false">IF(G49=0,0,(G50-G49)/G49*100)</f>
        <v>0</v>
      </c>
      <c r="O50" s="5" t="n">
        <f aca="false">IF(I50=0,0,B50/I50*100)</f>
        <v>0</v>
      </c>
      <c r="P50" s="3" t="str">
        <f aca="false">IF(A50&lt;1950,"Pre-plastic (1900-1949)",IF(A50&lt;1990,"Plastic boom (1950-1989)","Modern (1990-2026)"))</f>
        <v>Pre-plastic (1900-1949)</v>
      </c>
    </row>
    <row r="51" customFormat="false" ht="15" hidden="false" customHeight="false" outlineLevel="0" collapsed="false">
      <c r="A51" s="3" t="n">
        <v>1949</v>
      </c>
      <c r="B51" s="3" t="n">
        <v>0</v>
      </c>
      <c r="C51" s="3" t="n">
        <v>0.06</v>
      </c>
      <c r="D51" s="3" t="n">
        <v>0.5</v>
      </c>
      <c r="E51" s="3" t="n">
        <v>0.11</v>
      </c>
      <c r="F51" s="3" t="n">
        <v>0</v>
      </c>
      <c r="G51" s="3" t="n">
        <v>0.45</v>
      </c>
      <c r="H51" s="3" t="n">
        <v>6</v>
      </c>
      <c r="I51" s="4" t="n">
        <f aca="false">B51+C51+D51</f>
        <v>0.56</v>
      </c>
      <c r="J51" s="4" t="n">
        <f aca="false">I51-E51</f>
        <v>0.45</v>
      </c>
      <c r="K51" s="4" t="n">
        <f aca="false">G51-J51</f>
        <v>0</v>
      </c>
      <c r="L51" s="5" t="n">
        <f aca="false">IF(I51=0,0,E51/I51*100)</f>
        <v>19.6428571428571</v>
      </c>
      <c r="M51" s="5" t="n">
        <f aca="false">IF(E51=0,0,F51/E51*100)</f>
        <v>0</v>
      </c>
      <c r="N51" s="5" t="n">
        <f aca="false">IF(G50=0,0,(G51-G50)/G50*100)</f>
        <v>2.27272727272727</v>
      </c>
      <c r="O51" s="5" t="n">
        <f aca="false">IF(I51=0,0,B51/I51*100)</f>
        <v>0</v>
      </c>
      <c r="P51" s="3" t="str">
        <f aca="false">IF(A51&lt;1950,"Pre-plastic (1900-1949)",IF(A51&lt;1990,"Plastic boom (1950-1989)","Modern (1990-2026)"))</f>
        <v>Pre-plastic (1900-1949)</v>
      </c>
    </row>
    <row r="52" customFormat="false" ht="15" hidden="false" customHeight="false" outlineLevel="0" collapsed="false">
      <c r="A52" s="3" t="n">
        <v>1950</v>
      </c>
      <c r="B52" s="3" t="n">
        <v>0.01</v>
      </c>
      <c r="C52" s="3" t="n">
        <v>0.06</v>
      </c>
      <c r="D52" s="3" t="n">
        <v>0.51</v>
      </c>
      <c r="E52" s="3" t="n">
        <v>0.11</v>
      </c>
      <c r="F52" s="3" t="n">
        <v>0</v>
      </c>
      <c r="G52" s="3" t="n">
        <v>0.47</v>
      </c>
      <c r="H52" s="3" t="n">
        <v>6</v>
      </c>
      <c r="I52" s="4" t="n">
        <f aca="false">B52+C52+D52</f>
        <v>0.58</v>
      </c>
      <c r="J52" s="4" t="n">
        <f aca="false">I52-E52</f>
        <v>0.47</v>
      </c>
      <c r="K52" s="4" t="n">
        <f aca="false">G52-J52</f>
        <v>0</v>
      </c>
      <c r="L52" s="5" t="n">
        <f aca="false">IF(I52=0,0,E52/I52*100)</f>
        <v>18.9655172413793</v>
      </c>
      <c r="M52" s="5" t="n">
        <f aca="false">IF(E52=0,0,F52/E52*100)</f>
        <v>0</v>
      </c>
      <c r="N52" s="5" t="n">
        <f aca="false">IF(G51=0,0,(G52-G51)/G51*100)</f>
        <v>4.44444444444444</v>
      </c>
      <c r="O52" s="5" t="n">
        <f aca="false">IF(I52=0,0,B52/I52*100)</f>
        <v>1.72413793103448</v>
      </c>
      <c r="P52" s="3" t="str">
        <f aca="false">IF(A52&lt;1950,"Pre-plastic (1900-1949)",IF(A52&lt;1990,"Plastic boom (1950-1989)","Modern (1990-2026)"))</f>
        <v>Plastic boom (1950-1989)</v>
      </c>
    </row>
    <row r="53" customFormat="false" ht="15" hidden="false" customHeight="false" outlineLevel="0" collapsed="false">
      <c r="A53" s="3" t="n">
        <v>1951</v>
      </c>
      <c r="B53" s="3" t="n">
        <v>0.05</v>
      </c>
      <c r="C53" s="3" t="n">
        <v>0.06</v>
      </c>
      <c r="D53" s="3" t="n">
        <v>0.52</v>
      </c>
      <c r="E53" s="3" t="n">
        <v>0.12</v>
      </c>
      <c r="F53" s="3" t="n">
        <v>0</v>
      </c>
      <c r="G53" s="3" t="n">
        <v>0.51</v>
      </c>
      <c r="H53" s="3" t="n">
        <v>6</v>
      </c>
      <c r="I53" s="4" t="n">
        <f aca="false">B53+C53+D53</f>
        <v>0.63</v>
      </c>
      <c r="J53" s="4" t="n">
        <f aca="false">I53-E53</f>
        <v>0.51</v>
      </c>
      <c r="K53" s="4" t="n">
        <f aca="false">G53-J53</f>
        <v>0</v>
      </c>
      <c r="L53" s="5" t="n">
        <f aca="false">IF(I53=0,0,E53/I53*100)</f>
        <v>19.047619047619</v>
      </c>
      <c r="M53" s="5" t="n">
        <f aca="false">IF(E53=0,0,F53/E53*100)</f>
        <v>0</v>
      </c>
      <c r="N53" s="5" t="n">
        <f aca="false">IF(G52=0,0,(G53-G52)/G52*100)</f>
        <v>8.51063829787235</v>
      </c>
      <c r="O53" s="5" t="n">
        <f aca="false">IF(I53=0,0,B53/I53*100)</f>
        <v>7.93650793650794</v>
      </c>
      <c r="P53" s="3" t="str">
        <f aca="false">IF(A53&lt;1950,"Pre-plastic (1900-1949)",IF(A53&lt;1990,"Plastic boom (1950-1989)","Modern (1990-2026)"))</f>
        <v>Plastic boom (1950-1989)</v>
      </c>
    </row>
    <row r="54" customFormat="false" ht="15" hidden="false" customHeight="false" outlineLevel="0" collapsed="false">
      <c r="A54" s="3" t="n">
        <v>1952</v>
      </c>
      <c r="B54" s="3" t="n">
        <v>0.09</v>
      </c>
      <c r="C54" s="3" t="n">
        <v>0.06</v>
      </c>
      <c r="D54" s="3" t="n">
        <v>0.53</v>
      </c>
      <c r="E54" s="3" t="n">
        <v>0.12</v>
      </c>
      <c r="F54" s="3" t="n">
        <v>0</v>
      </c>
      <c r="G54" s="3" t="n">
        <v>0.56</v>
      </c>
      <c r="H54" s="3" t="n">
        <v>6</v>
      </c>
      <c r="I54" s="4" t="n">
        <f aca="false">B54+C54+D54</f>
        <v>0.68</v>
      </c>
      <c r="J54" s="4" t="n">
        <f aca="false">I54-E54</f>
        <v>0.56</v>
      </c>
      <c r="K54" s="4" t="n">
        <f aca="false">G54-J54</f>
        <v>0</v>
      </c>
      <c r="L54" s="5" t="n">
        <f aca="false">IF(I54=0,0,E54/I54*100)</f>
        <v>17.6470588235294</v>
      </c>
      <c r="M54" s="5" t="n">
        <f aca="false">IF(E54=0,0,F54/E54*100)</f>
        <v>0</v>
      </c>
      <c r="N54" s="5" t="n">
        <f aca="false">IF(G53=0,0,(G54-G53)/G53*100)</f>
        <v>9.80392156862746</v>
      </c>
      <c r="O54" s="5" t="n">
        <f aca="false">IF(I54=0,0,B54/I54*100)</f>
        <v>13.2352941176471</v>
      </c>
      <c r="P54" s="3" t="str">
        <f aca="false">IF(A54&lt;1950,"Pre-plastic (1900-1949)",IF(A54&lt;1990,"Plastic boom (1950-1989)","Modern (1990-2026)"))</f>
        <v>Plastic boom (1950-1989)</v>
      </c>
    </row>
    <row r="55" customFormat="false" ht="15" hidden="false" customHeight="false" outlineLevel="0" collapsed="false">
      <c r="A55" s="3" t="n">
        <v>1953</v>
      </c>
      <c r="B55" s="3" t="n">
        <v>0.12</v>
      </c>
      <c r="C55" s="3" t="n">
        <v>0.06</v>
      </c>
      <c r="D55" s="3" t="n">
        <v>0.54</v>
      </c>
      <c r="E55" s="3" t="n">
        <v>0.12</v>
      </c>
      <c r="F55" s="3" t="n">
        <v>0</v>
      </c>
      <c r="G55" s="3" t="n">
        <v>0.6</v>
      </c>
      <c r="H55" s="3" t="n">
        <v>6</v>
      </c>
      <c r="I55" s="4" t="n">
        <f aca="false">B55+C55+D55</f>
        <v>0.72</v>
      </c>
      <c r="J55" s="4" t="n">
        <f aca="false">I55-E55</f>
        <v>0.6</v>
      </c>
      <c r="K55" s="4" t="n">
        <f aca="false">G55-J55</f>
        <v>0</v>
      </c>
      <c r="L55" s="5" t="n">
        <f aca="false">IF(I55=0,0,E55/I55*100)</f>
        <v>16.6666666666667</v>
      </c>
      <c r="M55" s="5" t="n">
        <f aca="false">IF(E55=0,0,F55/E55*100)</f>
        <v>0</v>
      </c>
      <c r="N55" s="5" t="n">
        <f aca="false">IF(G54=0,0,(G55-G54)/G54*100)</f>
        <v>7.14285714285713</v>
      </c>
      <c r="O55" s="5" t="n">
        <f aca="false">IF(I55=0,0,B55/I55*100)</f>
        <v>16.6666666666667</v>
      </c>
      <c r="P55" s="3" t="str">
        <f aca="false">IF(A55&lt;1950,"Pre-plastic (1900-1949)",IF(A55&lt;1990,"Plastic boom (1950-1989)","Modern (1990-2026)"))</f>
        <v>Plastic boom (1950-1989)</v>
      </c>
    </row>
    <row r="56" customFormat="false" ht="15" hidden="false" customHeight="false" outlineLevel="0" collapsed="false">
      <c r="A56" s="3" t="n">
        <v>1954</v>
      </c>
      <c r="B56" s="3" t="n">
        <v>0.16</v>
      </c>
      <c r="C56" s="3" t="n">
        <v>0.06</v>
      </c>
      <c r="D56" s="3" t="n">
        <v>0.54</v>
      </c>
      <c r="E56" s="3" t="n">
        <v>0.12</v>
      </c>
      <c r="F56" s="3" t="n">
        <v>0</v>
      </c>
      <c r="G56" s="3" t="n">
        <v>0.64</v>
      </c>
      <c r="H56" s="3" t="n">
        <v>6</v>
      </c>
      <c r="I56" s="4" t="n">
        <f aca="false">B56+C56+D56</f>
        <v>0.76</v>
      </c>
      <c r="J56" s="4" t="n">
        <f aca="false">I56-E56</f>
        <v>0.64</v>
      </c>
      <c r="K56" s="4" t="n">
        <f aca="false">G56-J56</f>
        <v>0</v>
      </c>
      <c r="L56" s="5" t="n">
        <f aca="false">IF(I56=0,0,E56/I56*100)</f>
        <v>15.7894736842105</v>
      </c>
      <c r="M56" s="5" t="n">
        <f aca="false">IF(E56=0,0,F56/E56*100)</f>
        <v>0</v>
      </c>
      <c r="N56" s="5" t="n">
        <f aca="false">IF(G55=0,0,(G56-G55)/G55*100)</f>
        <v>6.66666666666667</v>
      </c>
      <c r="O56" s="5" t="n">
        <f aca="false">IF(I56=0,0,B56/I56*100)</f>
        <v>21.0526315789474</v>
      </c>
      <c r="P56" s="3" t="str">
        <f aca="false">IF(A56&lt;1950,"Pre-plastic (1900-1949)",IF(A56&lt;1990,"Plastic boom (1950-1989)","Modern (1990-2026)"))</f>
        <v>Plastic boom (1950-1989)</v>
      </c>
    </row>
    <row r="57" customFormat="false" ht="15" hidden="false" customHeight="false" outlineLevel="0" collapsed="false">
      <c r="A57" s="3" t="n">
        <v>1955</v>
      </c>
      <c r="B57" s="3" t="n">
        <v>0.2</v>
      </c>
      <c r="C57" s="3" t="n">
        <v>0.07</v>
      </c>
      <c r="D57" s="3" t="n">
        <v>0.55</v>
      </c>
      <c r="E57" s="3" t="n">
        <v>0.13</v>
      </c>
      <c r="F57" s="3" t="n">
        <v>0</v>
      </c>
      <c r="G57" s="3" t="n">
        <v>0.69</v>
      </c>
      <c r="H57" s="3" t="n">
        <v>7</v>
      </c>
      <c r="I57" s="4" t="n">
        <f aca="false">B57+C57+D57</f>
        <v>0.82</v>
      </c>
      <c r="J57" s="4" t="n">
        <f aca="false">I57-E57</f>
        <v>0.69</v>
      </c>
      <c r="K57" s="4" t="n">
        <f aca="false">G57-J57</f>
        <v>0</v>
      </c>
      <c r="L57" s="5" t="n">
        <f aca="false">IF(I57=0,0,E57/I57*100)</f>
        <v>15.8536585365854</v>
      </c>
      <c r="M57" s="5" t="n">
        <f aca="false">IF(E57=0,0,F57/E57*100)</f>
        <v>0</v>
      </c>
      <c r="N57" s="5" t="n">
        <f aca="false">IF(G56=0,0,(G57-G56)/G56*100)</f>
        <v>7.81249999999999</v>
      </c>
      <c r="O57" s="5" t="n">
        <f aca="false">IF(I57=0,0,B57/I57*100)</f>
        <v>24.390243902439</v>
      </c>
      <c r="P57" s="3" t="str">
        <f aca="false">IF(A57&lt;1950,"Pre-plastic (1900-1949)",IF(A57&lt;1990,"Plastic boom (1950-1989)","Modern (1990-2026)"))</f>
        <v>Plastic boom (1950-1989)</v>
      </c>
    </row>
    <row r="58" customFormat="false" ht="15" hidden="false" customHeight="false" outlineLevel="0" collapsed="false">
      <c r="A58" s="3" t="n">
        <v>1956</v>
      </c>
      <c r="B58" s="3" t="n">
        <v>0.24</v>
      </c>
      <c r="C58" s="3" t="n">
        <v>0.07</v>
      </c>
      <c r="D58" s="3" t="n">
        <v>0.56</v>
      </c>
      <c r="E58" s="3" t="n">
        <v>0.13</v>
      </c>
      <c r="F58" s="3" t="n">
        <v>0</v>
      </c>
      <c r="G58" s="3" t="n">
        <v>0.74</v>
      </c>
      <c r="H58" s="3" t="n">
        <v>7</v>
      </c>
      <c r="I58" s="4" t="n">
        <f aca="false">B58+C58+D58</f>
        <v>0.87</v>
      </c>
      <c r="J58" s="4" t="n">
        <f aca="false">I58-E58</f>
        <v>0.74</v>
      </c>
      <c r="K58" s="4" t="n">
        <f aca="false">G58-J58</f>
        <v>0</v>
      </c>
      <c r="L58" s="5" t="n">
        <f aca="false">IF(I58=0,0,E58/I58*100)</f>
        <v>14.9425287356322</v>
      </c>
      <c r="M58" s="5" t="n">
        <f aca="false">IF(E58=0,0,F58/E58*100)</f>
        <v>0</v>
      </c>
      <c r="N58" s="5" t="n">
        <f aca="false">IF(G57=0,0,(G58-G57)/G57*100)</f>
        <v>7.24637681159421</v>
      </c>
      <c r="O58" s="5" t="n">
        <f aca="false">IF(I58=0,0,B58/I58*100)</f>
        <v>27.5862068965517</v>
      </c>
      <c r="P58" s="3" t="str">
        <f aca="false">IF(A58&lt;1950,"Pre-plastic (1900-1949)",IF(A58&lt;1990,"Plastic boom (1950-1989)","Modern (1990-2026)"))</f>
        <v>Plastic boom (1950-1989)</v>
      </c>
    </row>
    <row r="59" customFormat="false" ht="15" hidden="false" customHeight="false" outlineLevel="0" collapsed="false">
      <c r="A59" s="3" t="n">
        <v>1957</v>
      </c>
      <c r="B59" s="3" t="n">
        <v>0.27</v>
      </c>
      <c r="C59" s="3" t="n">
        <v>0.07</v>
      </c>
      <c r="D59" s="3" t="n">
        <v>0.57</v>
      </c>
      <c r="E59" s="3" t="n">
        <v>0.13</v>
      </c>
      <c r="F59" s="3" t="n">
        <v>0</v>
      </c>
      <c r="G59" s="3" t="n">
        <v>0.78</v>
      </c>
      <c r="H59" s="3" t="n">
        <v>7</v>
      </c>
      <c r="I59" s="4" t="n">
        <f aca="false">B59+C59+D59</f>
        <v>0.91</v>
      </c>
      <c r="J59" s="4" t="n">
        <f aca="false">I59-E59</f>
        <v>0.78</v>
      </c>
      <c r="K59" s="4" t="n">
        <f aca="false">G59-J59</f>
        <v>0</v>
      </c>
      <c r="L59" s="5" t="n">
        <f aca="false">IF(I59=0,0,E59/I59*100)</f>
        <v>14.2857142857143</v>
      </c>
      <c r="M59" s="5" t="n">
        <f aca="false">IF(E59=0,0,F59/E59*100)</f>
        <v>0</v>
      </c>
      <c r="N59" s="5" t="n">
        <f aca="false">IF(G58=0,0,(G59-G58)/G58*100)</f>
        <v>5.40540540540541</v>
      </c>
      <c r="O59" s="5" t="n">
        <f aca="false">IF(I59=0,0,B59/I59*100)</f>
        <v>29.6703296703297</v>
      </c>
      <c r="P59" s="3" t="str">
        <f aca="false">IF(A59&lt;1950,"Pre-plastic (1900-1949)",IF(A59&lt;1990,"Plastic boom (1950-1989)","Modern (1990-2026)"))</f>
        <v>Plastic boom (1950-1989)</v>
      </c>
    </row>
    <row r="60" customFormat="false" ht="15" hidden="false" customHeight="false" outlineLevel="0" collapsed="false">
      <c r="A60" s="3" t="n">
        <v>1958</v>
      </c>
      <c r="B60" s="3" t="n">
        <v>0.31</v>
      </c>
      <c r="C60" s="3" t="n">
        <v>0.07</v>
      </c>
      <c r="D60" s="3" t="n">
        <v>0.58</v>
      </c>
      <c r="E60" s="3" t="n">
        <v>0.13</v>
      </c>
      <c r="F60" s="3" t="n">
        <v>0</v>
      </c>
      <c r="G60" s="3" t="n">
        <v>0.83</v>
      </c>
      <c r="H60" s="3" t="n">
        <v>7</v>
      </c>
      <c r="I60" s="4" t="n">
        <f aca="false">B60+C60+D60</f>
        <v>0.96</v>
      </c>
      <c r="J60" s="4" t="n">
        <f aca="false">I60-E60</f>
        <v>0.83</v>
      </c>
      <c r="K60" s="4" t="n">
        <f aca="false">G60-J60</f>
        <v>0</v>
      </c>
      <c r="L60" s="5" t="n">
        <f aca="false">IF(I60=0,0,E60/I60*100)</f>
        <v>13.5416666666667</v>
      </c>
      <c r="M60" s="5" t="n">
        <f aca="false">IF(E60=0,0,F60/E60*100)</f>
        <v>0</v>
      </c>
      <c r="N60" s="5" t="n">
        <f aca="false">IF(G59=0,0,(G60-G59)/G59*100)</f>
        <v>6.4102564102564</v>
      </c>
      <c r="O60" s="5" t="n">
        <f aca="false">IF(I60=0,0,B60/I60*100)</f>
        <v>32.2916666666667</v>
      </c>
      <c r="P60" s="3" t="str">
        <f aca="false">IF(A60&lt;1950,"Pre-plastic (1900-1949)",IF(A60&lt;1990,"Plastic boom (1950-1989)","Modern (1990-2026)"))</f>
        <v>Plastic boom (1950-1989)</v>
      </c>
    </row>
    <row r="61" customFormat="false" ht="15" hidden="false" customHeight="false" outlineLevel="0" collapsed="false">
      <c r="A61" s="3" t="n">
        <v>1959</v>
      </c>
      <c r="B61" s="3" t="n">
        <v>0.35</v>
      </c>
      <c r="C61" s="3" t="n">
        <v>0.07</v>
      </c>
      <c r="D61" s="3" t="n">
        <v>0.59</v>
      </c>
      <c r="E61" s="3" t="n">
        <v>0.13</v>
      </c>
      <c r="F61" s="3" t="n">
        <v>0</v>
      </c>
      <c r="G61" s="3" t="n">
        <v>0.88</v>
      </c>
      <c r="H61" s="3" t="n">
        <v>7</v>
      </c>
      <c r="I61" s="4" t="n">
        <f aca="false">B61+C61+D61</f>
        <v>1.01</v>
      </c>
      <c r="J61" s="4" t="n">
        <f aca="false">I61-E61</f>
        <v>0.88</v>
      </c>
      <c r="K61" s="4" t="n">
        <f aca="false">G61-J61</f>
        <v>0</v>
      </c>
      <c r="L61" s="5" t="n">
        <f aca="false">IF(I61=0,0,E61/I61*100)</f>
        <v>12.8712871287129</v>
      </c>
      <c r="M61" s="5" t="n">
        <f aca="false">IF(E61=0,0,F61/E61*100)</f>
        <v>0</v>
      </c>
      <c r="N61" s="5" t="n">
        <f aca="false">IF(G60=0,0,(G61-G60)/G60*100)</f>
        <v>6.02409638554217</v>
      </c>
      <c r="O61" s="5" t="n">
        <f aca="false">IF(I61=0,0,B61/I61*100)</f>
        <v>34.6534653465347</v>
      </c>
      <c r="P61" s="3" t="str">
        <f aca="false">IF(A61&lt;1950,"Pre-plastic (1900-1949)",IF(A61&lt;1990,"Plastic boom (1950-1989)","Modern (1990-2026)"))</f>
        <v>Plastic boom (1950-1989)</v>
      </c>
    </row>
    <row r="62" customFormat="false" ht="15" hidden="false" customHeight="false" outlineLevel="0" collapsed="false">
      <c r="A62" s="3" t="n">
        <v>1960</v>
      </c>
      <c r="B62" s="3" t="n">
        <v>0.39</v>
      </c>
      <c r="C62" s="3" t="n">
        <v>0.07</v>
      </c>
      <c r="D62" s="3" t="n">
        <v>0.59</v>
      </c>
      <c r="E62" s="3" t="n">
        <v>0.14</v>
      </c>
      <c r="F62" s="3" t="n">
        <v>0</v>
      </c>
      <c r="G62" s="3" t="n">
        <v>0.91</v>
      </c>
      <c r="H62" s="3" t="n">
        <v>7</v>
      </c>
      <c r="I62" s="4" t="n">
        <f aca="false">B62+C62+D62</f>
        <v>1.05</v>
      </c>
      <c r="J62" s="4" t="n">
        <f aca="false">I62-E62</f>
        <v>0.91</v>
      </c>
      <c r="K62" s="4" t="n">
        <f aca="false">G62-J62</f>
        <v>0</v>
      </c>
      <c r="L62" s="5" t="n">
        <f aca="false">IF(I62=0,0,E62/I62*100)</f>
        <v>13.3333333333333</v>
      </c>
      <c r="M62" s="5" t="n">
        <f aca="false">IF(E62=0,0,F62/E62*100)</f>
        <v>0</v>
      </c>
      <c r="N62" s="5" t="n">
        <f aca="false">IF(G61=0,0,(G62-G61)/G61*100)</f>
        <v>3.40909090909091</v>
      </c>
      <c r="O62" s="5" t="n">
        <f aca="false">IF(I62=0,0,B62/I62*100)</f>
        <v>37.1428571428571</v>
      </c>
      <c r="P62" s="3" t="str">
        <f aca="false">IF(A62&lt;1950,"Pre-plastic (1900-1949)",IF(A62&lt;1990,"Plastic boom (1950-1989)","Modern (1990-2026)"))</f>
        <v>Plastic boom (1950-1989)</v>
      </c>
    </row>
    <row r="63" customFormat="false" ht="15" hidden="false" customHeight="false" outlineLevel="0" collapsed="false">
      <c r="A63" s="3" t="n">
        <v>1961</v>
      </c>
      <c r="B63" s="3" t="n">
        <v>0.42</v>
      </c>
      <c r="C63" s="3" t="n">
        <v>0.07</v>
      </c>
      <c r="D63" s="3" t="n">
        <v>0.6</v>
      </c>
      <c r="E63" s="3" t="n">
        <v>0.14</v>
      </c>
      <c r="F63" s="3" t="n">
        <v>0</v>
      </c>
      <c r="G63" s="3" t="n">
        <v>0.95</v>
      </c>
      <c r="H63" s="3" t="n">
        <v>7</v>
      </c>
      <c r="I63" s="4" t="n">
        <f aca="false">B63+C63+D63</f>
        <v>1.09</v>
      </c>
      <c r="J63" s="4" t="n">
        <f aca="false">I63-E63</f>
        <v>0.95</v>
      </c>
      <c r="K63" s="4" t="n">
        <f aca="false">G63-J63</f>
        <v>0</v>
      </c>
      <c r="L63" s="5" t="n">
        <f aca="false">IF(I63=0,0,E63/I63*100)</f>
        <v>12.8440366972477</v>
      </c>
      <c r="M63" s="5" t="n">
        <f aca="false">IF(E63=0,0,F63/E63*100)</f>
        <v>0</v>
      </c>
      <c r="N63" s="5" t="n">
        <f aca="false">IF(G62=0,0,(G63-G62)/G62*100)</f>
        <v>4.39560439560439</v>
      </c>
      <c r="O63" s="5" t="n">
        <f aca="false">IF(I63=0,0,B63/I63*100)</f>
        <v>38.5321100917431</v>
      </c>
      <c r="P63" s="3" t="str">
        <f aca="false">IF(A63&lt;1950,"Pre-plastic (1900-1949)",IF(A63&lt;1990,"Plastic boom (1950-1989)","Modern (1990-2026)"))</f>
        <v>Plastic boom (1950-1989)</v>
      </c>
    </row>
    <row r="64" customFormat="false" ht="15" hidden="false" customHeight="false" outlineLevel="0" collapsed="false">
      <c r="A64" s="3" t="n">
        <v>1962</v>
      </c>
      <c r="B64" s="3" t="n">
        <v>0.46</v>
      </c>
      <c r="C64" s="3" t="n">
        <v>0.07</v>
      </c>
      <c r="D64" s="3" t="n">
        <v>0.61</v>
      </c>
      <c r="E64" s="3" t="n">
        <v>0.14</v>
      </c>
      <c r="F64" s="3" t="n">
        <v>0</v>
      </c>
      <c r="G64" s="3" t="n">
        <v>1</v>
      </c>
      <c r="H64" s="3" t="n">
        <v>7</v>
      </c>
      <c r="I64" s="4" t="n">
        <f aca="false">B64+C64+D64</f>
        <v>1.14</v>
      </c>
      <c r="J64" s="4" t="n">
        <f aca="false">I64-E64</f>
        <v>1</v>
      </c>
      <c r="K64" s="4" t="n">
        <f aca="false">G64-J64</f>
        <v>0</v>
      </c>
      <c r="L64" s="5" t="n">
        <f aca="false">IF(I64=0,0,E64/I64*100)</f>
        <v>12.280701754386</v>
      </c>
      <c r="M64" s="5" t="n">
        <f aca="false">IF(E64=0,0,F64/E64*100)</f>
        <v>0</v>
      </c>
      <c r="N64" s="5" t="n">
        <f aca="false">IF(G63=0,0,(G64-G63)/G63*100)</f>
        <v>5.26315789473685</v>
      </c>
      <c r="O64" s="5" t="n">
        <f aca="false">IF(I64=0,0,B64/I64*100)</f>
        <v>40.3508771929825</v>
      </c>
      <c r="P64" s="3" t="str">
        <f aca="false">IF(A64&lt;1950,"Pre-plastic (1900-1949)",IF(A64&lt;1990,"Plastic boom (1950-1989)","Modern (1990-2026)"))</f>
        <v>Plastic boom (1950-1989)</v>
      </c>
    </row>
    <row r="65" customFormat="false" ht="15" hidden="false" customHeight="false" outlineLevel="0" collapsed="false">
      <c r="A65" s="3" t="n">
        <v>1963</v>
      </c>
      <c r="B65" s="3" t="n">
        <v>0.5</v>
      </c>
      <c r="C65" s="3" t="n">
        <v>0.07</v>
      </c>
      <c r="D65" s="3" t="n">
        <v>0.62</v>
      </c>
      <c r="E65" s="3" t="n">
        <v>0.14</v>
      </c>
      <c r="F65" s="3" t="n">
        <v>0</v>
      </c>
      <c r="G65" s="3" t="n">
        <v>1.05</v>
      </c>
      <c r="H65" s="3" t="n">
        <v>7</v>
      </c>
      <c r="I65" s="4" t="n">
        <f aca="false">B65+C65+D65</f>
        <v>1.19</v>
      </c>
      <c r="J65" s="4" t="n">
        <f aca="false">I65-E65</f>
        <v>1.05</v>
      </c>
      <c r="K65" s="4" t="n">
        <f aca="false">G65-J65</f>
        <v>0</v>
      </c>
      <c r="L65" s="5" t="n">
        <f aca="false">IF(I65=0,0,E65/I65*100)</f>
        <v>11.7647058823529</v>
      </c>
      <c r="M65" s="5" t="n">
        <f aca="false">IF(E65=0,0,F65/E65*100)</f>
        <v>0</v>
      </c>
      <c r="N65" s="5" t="n">
        <f aca="false">IF(G64=0,0,(G65-G64)/G64*100)</f>
        <v>5</v>
      </c>
      <c r="O65" s="5" t="n">
        <f aca="false">IF(I65=0,0,B65/I65*100)</f>
        <v>42.0168067226891</v>
      </c>
      <c r="P65" s="3" t="str">
        <f aca="false">IF(A65&lt;1950,"Pre-plastic (1900-1949)",IF(A65&lt;1990,"Plastic boom (1950-1989)","Modern (1990-2026)"))</f>
        <v>Plastic boom (1950-1989)</v>
      </c>
    </row>
    <row r="66" customFormat="false" ht="15" hidden="false" customHeight="false" outlineLevel="0" collapsed="false">
      <c r="A66" s="3" t="n">
        <v>1964</v>
      </c>
      <c r="B66" s="3" t="n">
        <v>0.54</v>
      </c>
      <c r="C66" s="3" t="n">
        <v>0.07</v>
      </c>
      <c r="D66" s="3" t="n">
        <v>0.63</v>
      </c>
      <c r="E66" s="3" t="n">
        <v>0.15</v>
      </c>
      <c r="F66" s="3" t="n">
        <v>0</v>
      </c>
      <c r="G66" s="3" t="n">
        <v>1.09</v>
      </c>
      <c r="H66" s="3" t="n">
        <v>7</v>
      </c>
      <c r="I66" s="4" t="n">
        <f aca="false">B66+C66+D66</f>
        <v>1.24</v>
      </c>
      <c r="J66" s="4" t="n">
        <f aca="false">I66-E66</f>
        <v>1.09</v>
      </c>
      <c r="K66" s="4" t="n">
        <f aca="false">G66-J66</f>
        <v>0</v>
      </c>
      <c r="L66" s="5" t="n">
        <f aca="false">IF(I66=0,0,E66/I66*100)</f>
        <v>12.0967741935484</v>
      </c>
      <c r="M66" s="5" t="n">
        <f aca="false">IF(E66=0,0,F66/E66*100)</f>
        <v>0</v>
      </c>
      <c r="N66" s="5" t="n">
        <f aca="false">IF(G65=0,0,(G66-G65)/G65*100)</f>
        <v>3.80952380952381</v>
      </c>
      <c r="O66" s="5" t="n">
        <f aca="false">IF(I66=0,0,B66/I66*100)</f>
        <v>43.5483870967742</v>
      </c>
      <c r="P66" s="3" t="str">
        <f aca="false">IF(A66&lt;1950,"Pre-plastic (1900-1949)",IF(A66&lt;1990,"Plastic boom (1950-1989)","Modern (1990-2026)"))</f>
        <v>Plastic boom (1950-1989)</v>
      </c>
    </row>
    <row r="67" customFormat="false" ht="15" hidden="false" customHeight="false" outlineLevel="0" collapsed="false">
      <c r="A67" s="3" t="n">
        <v>1965</v>
      </c>
      <c r="B67" s="3" t="n">
        <v>0.57</v>
      </c>
      <c r="C67" s="3" t="n">
        <v>0.08</v>
      </c>
      <c r="D67" s="3" t="n">
        <v>0.63</v>
      </c>
      <c r="E67" s="3" t="n">
        <v>0.15</v>
      </c>
      <c r="F67" s="3" t="n">
        <v>0.01</v>
      </c>
      <c r="G67" s="3" t="n">
        <v>1.13</v>
      </c>
      <c r="H67" s="3" t="n">
        <v>8</v>
      </c>
      <c r="I67" s="4" t="n">
        <f aca="false">B67+C67+D67</f>
        <v>1.28</v>
      </c>
      <c r="J67" s="4" t="n">
        <f aca="false">I67-E67</f>
        <v>1.13</v>
      </c>
      <c r="K67" s="4" t="n">
        <f aca="false">G67-J67</f>
        <v>0</v>
      </c>
      <c r="L67" s="5" t="n">
        <f aca="false">IF(I67=0,0,E67/I67*100)</f>
        <v>11.71875</v>
      </c>
      <c r="M67" s="5" t="n">
        <f aca="false">IF(E67=0,0,F67/E67*100)</f>
        <v>6.66666666666667</v>
      </c>
      <c r="N67" s="5" t="n">
        <f aca="false">IF(G66=0,0,(G67-G66)/G66*100)</f>
        <v>3.66972477064218</v>
      </c>
      <c r="O67" s="5" t="n">
        <f aca="false">IF(I67=0,0,B67/I67*100)</f>
        <v>44.53125</v>
      </c>
      <c r="P67" s="3" t="str">
        <f aca="false">IF(A67&lt;1950,"Pre-plastic (1900-1949)",IF(A67&lt;1990,"Plastic boom (1950-1989)","Modern (1990-2026)"))</f>
        <v>Plastic boom (1950-1989)</v>
      </c>
    </row>
    <row r="68" customFormat="false" ht="15" hidden="false" customHeight="false" outlineLevel="0" collapsed="false">
      <c r="A68" s="3" t="n">
        <v>1966</v>
      </c>
      <c r="B68" s="3" t="n">
        <v>0.61</v>
      </c>
      <c r="C68" s="3" t="n">
        <v>0.08</v>
      </c>
      <c r="D68" s="3" t="n">
        <v>0.64</v>
      </c>
      <c r="E68" s="3" t="n">
        <v>0.15</v>
      </c>
      <c r="F68" s="3" t="n">
        <v>0.01</v>
      </c>
      <c r="G68" s="3" t="n">
        <v>1.18</v>
      </c>
      <c r="H68" s="3" t="n">
        <v>8</v>
      </c>
      <c r="I68" s="4" t="n">
        <f aca="false">B68+C68+D68</f>
        <v>1.33</v>
      </c>
      <c r="J68" s="4" t="n">
        <f aca="false">I68-E68</f>
        <v>1.18</v>
      </c>
      <c r="K68" s="4" t="n">
        <f aca="false">G68-J68</f>
        <v>0</v>
      </c>
      <c r="L68" s="5" t="n">
        <f aca="false">IF(I68=0,0,E68/I68*100)</f>
        <v>11.2781954887218</v>
      </c>
      <c r="M68" s="5" t="n">
        <f aca="false">IF(E68=0,0,F68/E68*100)</f>
        <v>6.66666666666667</v>
      </c>
      <c r="N68" s="5" t="n">
        <f aca="false">IF(G67=0,0,(G68-G67)/G67*100)</f>
        <v>4.42477876106195</v>
      </c>
      <c r="O68" s="5" t="n">
        <f aca="false">IF(I68=0,0,B68/I68*100)</f>
        <v>45.8646616541353</v>
      </c>
      <c r="P68" s="3" t="str">
        <f aca="false">IF(A68&lt;1950,"Pre-plastic (1900-1949)",IF(A68&lt;1990,"Plastic boom (1950-1989)","Modern (1990-2026)"))</f>
        <v>Plastic boom (1950-1989)</v>
      </c>
    </row>
    <row r="69" customFormat="false" ht="15" hidden="false" customHeight="false" outlineLevel="0" collapsed="false">
      <c r="A69" s="3" t="n">
        <v>1967</v>
      </c>
      <c r="B69" s="3" t="n">
        <v>0.65</v>
      </c>
      <c r="C69" s="3" t="n">
        <v>0.08</v>
      </c>
      <c r="D69" s="3" t="n">
        <v>0.65</v>
      </c>
      <c r="E69" s="3" t="n">
        <v>0.15</v>
      </c>
      <c r="F69" s="3" t="n">
        <v>0.01</v>
      </c>
      <c r="G69" s="3" t="n">
        <v>1.23</v>
      </c>
      <c r="H69" s="3" t="n">
        <v>8</v>
      </c>
      <c r="I69" s="4" t="n">
        <f aca="false">B69+C69+D69</f>
        <v>1.38</v>
      </c>
      <c r="J69" s="4" t="n">
        <f aca="false">I69-E69</f>
        <v>1.23</v>
      </c>
      <c r="K69" s="4" t="n">
        <f aca="false">G69-J69</f>
        <v>0</v>
      </c>
      <c r="L69" s="5" t="n">
        <f aca="false">IF(I69=0,0,E69/I69*100)</f>
        <v>10.8695652173913</v>
      </c>
      <c r="M69" s="5" t="n">
        <f aca="false">IF(E69=0,0,F69/E69*100)</f>
        <v>6.66666666666667</v>
      </c>
      <c r="N69" s="5" t="n">
        <f aca="false">IF(G68=0,0,(G69-G68)/G68*100)</f>
        <v>4.23728813559322</v>
      </c>
      <c r="O69" s="5" t="n">
        <f aca="false">IF(I69=0,0,B69/I69*100)</f>
        <v>47.1014492753623</v>
      </c>
      <c r="P69" s="3" t="str">
        <f aca="false">IF(A69&lt;1950,"Pre-plastic (1900-1949)",IF(A69&lt;1990,"Plastic boom (1950-1989)","Modern (1990-2026)"))</f>
        <v>Plastic boom (1950-1989)</v>
      </c>
    </row>
    <row r="70" customFormat="false" ht="15" hidden="false" customHeight="false" outlineLevel="0" collapsed="false">
      <c r="A70" s="3" t="n">
        <v>1968</v>
      </c>
      <c r="B70" s="3" t="n">
        <v>0.69</v>
      </c>
      <c r="C70" s="3" t="n">
        <v>0.08</v>
      </c>
      <c r="D70" s="3" t="n">
        <v>0.66</v>
      </c>
      <c r="E70" s="3" t="n">
        <v>0.15</v>
      </c>
      <c r="F70" s="3" t="n">
        <v>0.02</v>
      </c>
      <c r="G70" s="3" t="n">
        <v>1.28</v>
      </c>
      <c r="H70" s="3" t="n">
        <v>8</v>
      </c>
      <c r="I70" s="4" t="n">
        <f aca="false">B70+C70+D70</f>
        <v>1.43</v>
      </c>
      <c r="J70" s="4" t="n">
        <f aca="false">I70-E70</f>
        <v>1.28</v>
      </c>
      <c r="K70" s="4" t="n">
        <f aca="false">G70-J70</f>
        <v>0</v>
      </c>
      <c r="L70" s="5" t="n">
        <f aca="false">IF(I70=0,0,E70/I70*100)</f>
        <v>10.4895104895105</v>
      </c>
      <c r="M70" s="5" t="n">
        <f aca="false">IF(E70=0,0,F70/E70*100)</f>
        <v>13.3333333333333</v>
      </c>
      <c r="N70" s="5" t="n">
        <f aca="false">IF(G69=0,0,(G70-G69)/G69*100)</f>
        <v>4.06504065040651</v>
      </c>
      <c r="O70" s="5" t="n">
        <f aca="false">IF(I70=0,0,B70/I70*100)</f>
        <v>48.2517482517483</v>
      </c>
      <c r="P70" s="3" t="str">
        <f aca="false">IF(A70&lt;1950,"Pre-plastic (1900-1949)",IF(A70&lt;1990,"Plastic boom (1950-1989)","Modern (1990-2026)"))</f>
        <v>Plastic boom (1950-1989)</v>
      </c>
    </row>
    <row r="71" customFormat="false" ht="15" hidden="false" customHeight="false" outlineLevel="0" collapsed="false">
      <c r="A71" s="3" t="n">
        <v>1969</v>
      </c>
      <c r="B71" s="3" t="n">
        <v>0.72</v>
      </c>
      <c r="C71" s="3" t="n">
        <v>0.08</v>
      </c>
      <c r="D71" s="3" t="n">
        <v>0.67</v>
      </c>
      <c r="E71" s="3" t="n">
        <v>0.16</v>
      </c>
      <c r="F71" s="3" t="n">
        <v>0.02</v>
      </c>
      <c r="G71" s="3" t="n">
        <v>1.31</v>
      </c>
      <c r="H71" s="3" t="n">
        <v>8</v>
      </c>
      <c r="I71" s="4" t="n">
        <f aca="false">B71+C71+D71</f>
        <v>1.47</v>
      </c>
      <c r="J71" s="4" t="n">
        <f aca="false">I71-E71</f>
        <v>1.31</v>
      </c>
      <c r="K71" s="4" t="n">
        <f aca="false">G71-J71</f>
        <v>0</v>
      </c>
      <c r="L71" s="5" t="n">
        <f aca="false">IF(I71=0,0,E71/I71*100)</f>
        <v>10.8843537414966</v>
      </c>
      <c r="M71" s="5" t="n">
        <f aca="false">IF(E71=0,0,F71/E71*100)</f>
        <v>12.5</v>
      </c>
      <c r="N71" s="5" t="n">
        <f aca="false">IF(G70=0,0,(G71-G70)/G70*100)</f>
        <v>2.34375</v>
      </c>
      <c r="O71" s="5" t="n">
        <f aca="false">IF(I71=0,0,B71/I71*100)</f>
        <v>48.9795918367347</v>
      </c>
      <c r="P71" s="3" t="str">
        <f aca="false">IF(A71&lt;1950,"Pre-plastic (1900-1949)",IF(A71&lt;1990,"Plastic boom (1950-1989)","Modern (1990-2026)"))</f>
        <v>Plastic boom (1950-1989)</v>
      </c>
    </row>
    <row r="72" customFormat="false" ht="15" hidden="false" customHeight="false" outlineLevel="0" collapsed="false">
      <c r="A72" s="3" t="n">
        <v>1970</v>
      </c>
      <c r="B72" s="3" t="n">
        <v>0.76</v>
      </c>
      <c r="C72" s="3" t="n">
        <v>0.08</v>
      </c>
      <c r="D72" s="3" t="n">
        <v>0.68</v>
      </c>
      <c r="E72" s="3" t="n">
        <v>0.16</v>
      </c>
      <c r="F72" s="3" t="n">
        <v>0.02</v>
      </c>
      <c r="G72" s="3" t="n">
        <v>1.36</v>
      </c>
      <c r="H72" s="3" t="n">
        <v>8</v>
      </c>
      <c r="I72" s="4" t="n">
        <f aca="false">B72+C72+D72</f>
        <v>1.52</v>
      </c>
      <c r="J72" s="4" t="n">
        <f aca="false">I72-E72</f>
        <v>1.36</v>
      </c>
      <c r="K72" s="4" t="n">
        <f aca="false">G72-J72</f>
        <v>0</v>
      </c>
      <c r="L72" s="5" t="n">
        <f aca="false">IF(I72=0,0,E72/I72*100)</f>
        <v>10.5263157894737</v>
      </c>
      <c r="M72" s="5" t="n">
        <f aca="false">IF(E72=0,0,F72/E72*100)</f>
        <v>12.5</v>
      </c>
      <c r="N72" s="5" t="n">
        <f aca="false">IF(G71=0,0,(G72-G71)/G71*100)</f>
        <v>3.81679389312977</v>
      </c>
      <c r="O72" s="5" t="n">
        <f aca="false">IF(I72=0,0,B72/I72*100)</f>
        <v>50</v>
      </c>
      <c r="P72" s="3" t="str">
        <f aca="false">IF(A72&lt;1950,"Pre-plastic (1900-1949)",IF(A72&lt;1990,"Plastic boom (1950-1989)","Modern (1990-2026)"))</f>
        <v>Plastic boom (1950-1989)</v>
      </c>
    </row>
    <row r="73" customFormat="false" ht="15" hidden="false" customHeight="false" outlineLevel="0" collapsed="false">
      <c r="A73" s="3" t="n">
        <v>1971</v>
      </c>
      <c r="B73" s="3" t="n">
        <v>0.8</v>
      </c>
      <c r="C73" s="3" t="n">
        <v>0.08</v>
      </c>
      <c r="D73" s="3" t="n">
        <v>0.68</v>
      </c>
      <c r="E73" s="3" t="n">
        <v>0.16</v>
      </c>
      <c r="F73" s="3" t="n">
        <v>0.02</v>
      </c>
      <c r="G73" s="3" t="n">
        <v>1.4</v>
      </c>
      <c r="H73" s="3" t="n">
        <v>8</v>
      </c>
      <c r="I73" s="4" t="n">
        <f aca="false">B73+C73+D73</f>
        <v>1.56</v>
      </c>
      <c r="J73" s="4" t="n">
        <f aca="false">I73-E73</f>
        <v>1.4</v>
      </c>
      <c r="K73" s="4" t="n">
        <f aca="false">G73-J73</f>
        <v>0</v>
      </c>
      <c r="L73" s="5" t="n">
        <f aca="false">IF(I73=0,0,E73/I73*100)</f>
        <v>10.2564102564103</v>
      </c>
      <c r="M73" s="5" t="n">
        <f aca="false">IF(E73=0,0,F73/E73*100)</f>
        <v>12.5</v>
      </c>
      <c r="N73" s="5" t="n">
        <f aca="false">IF(G72=0,0,(G73-G72)/G72*100)</f>
        <v>2.94117647058822</v>
      </c>
      <c r="O73" s="5" t="n">
        <f aca="false">IF(I73=0,0,B73/I73*100)</f>
        <v>51.2820512820513</v>
      </c>
      <c r="P73" s="3" t="str">
        <f aca="false">IF(A73&lt;1950,"Pre-plastic (1900-1949)",IF(A73&lt;1990,"Plastic boom (1950-1989)","Modern (1990-2026)"))</f>
        <v>Plastic boom (1950-1989)</v>
      </c>
    </row>
    <row r="74" customFormat="false" ht="15" hidden="false" customHeight="false" outlineLevel="0" collapsed="false">
      <c r="A74" s="3" t="n">
        <v>1972</v>
      </c>
      <c r="B74" s="3" t="n">
        <v>0.84</v>
      </c>
      <c r="C74" s="3" t="n">
        <v>0.08</v>
      </c>
      <c r="D74" s="3" t="n">
        <v>0.69</v>
      </c>
      <c r="E74" s="3" t="n">
        <v>0.16</v>
      </c>
      <c r="F74" s="3" t="n">
        <v>0.02</v>
      </c>
      <c r="G74" s="3" t="n">
        <v>1.45</v>
      </c>
      <c r="H74" s="3" t="n">
        <v>8</v>
      </c>
      <c r="I74" s="4" t="n">
        <f aca="false">B74+C74+D74</f>
        <v>1.61</v>
      </c>
      <c r="J74" s="4" t="n">
        <f aca="false">I74-E74</f>
        <v>1.45</v>
      </c>
      <c r="K74" s="4" t="n">
        <f aca="false">G74-J74</f>
        <v>0</v>
      </c>
      <c r="L74" s="5" t="n">
        <f aca="false">IF(I74=0,0,E74/I74*100)</f>
        <v>9.93788819875777</v>
      </c>
      <c r="M74" s="5" t="n">
        <f aca="false">IF(E74=0,0,F74/E74*100)</f>
        <v>12.5</v>
      </c>
      <c r="N74" s="5" t="n">
        <f aca="false">IF(G73=0,0,(G74-G73)/G73*100)</f>
        <v>3.57142857142857</v>
      </c>
      <c r="O74" s="5" t="n">
        <f aca="false">IF(I74=0,0,B74/I74*100)</f>
        <v>52.1739130434783</v>
      </c>
      <c r="P74" s="3" t="str">
        <f aca="false">IF(A74&lt;1950,"Pre-plastic (1900-1949)",IF(A74&lt;1990,"Plastic boom (1950-1989)","Modern (1990-2026)"))</f>
        <v>Plastic boom (1950-1989)</v>
      </c>
    </row>
    <row r="75" customFormat="false" ht="15" hidden="false" customHeight="false" outlineLevel="0" collapsed="false">
      <c r="A75" s="3" t="n">
        <v>1973</v>
      </c>
      <c r="B75" s="3" t="n">
        <v>0.87</v>
      </c>
      <c r="C75" s="3" t="n">
        <v>0.08</v>
      </c>
      <c r="D75" s="3" t="n">
        <v>0.7</v>
      </c>
      <c r="E75" s="3" t="n">
        <v>0.17</v>
      </c>
      <c r="F75" s="3" t="n">
        <v>0.03</v>
      </c>
      <c r="G75" s="3" t="n">
        <v>1.48</v>
      </c>
      <c r="H75" s="3" t="n">
        <v>8</v>
      </c>
      <c r="I75" s="4" t="n">
        <f aca="false">B75+C75+D75</f>
        <v>1.65</v>
      </c>
      <c r="J75" s="4" t="n">
        <f aca="false">I75-E75</f>
        <v>1.48</v>
      </c>
      <c r="K75" s="4" t="n">
        <f aca="false">G75-J75</f>
        <v>0</v>
      </c>
      <c r="L75" s="5" t="n">
        <f aca="false">IF(I75=0,0,E75/I75*100)</f>
        <v>10.3030303030303</v>
      </c>
      <c r="M75" s="5" t="n">
        <f aca="false">IF(E75=0,0,F75/E75*100)</f>
        <v>17.6470588235294</v>
      </c>
      <c r="N75" s="5" t="n">
        <f aca="false">IF(G74=0,0,(G75-G74)/G74*100)</f>
        <v>2.06896551724138</v>
      </c>
      <c r="O75" s="5" t="n">
        <f aca="false">IF(I75=0,0,B75/I75*100)</f>
        <v>52.7272727272727</v>
      </c>
      <c r="P75" s="3" t="str">
        <f aca="false">IF(A75&lt;1950,"Pre-plastic (1900-1949)",IF(A75&lt;1990,"Plastic boom (1950-1989)","Modern (1990-2026)"))</f>
        <v>Plastic boom (1950-1989)</v>
      </c>
    </row>
    <row r="76" customFormat="false" ht="15" hidden="false" customHeight="false" outlineLevel="0" collapsed="false">
      <c r="A76" s="3" t="n">
        <v>1974</v>
      </c>
      <c r="B76" s="3" t="n">
        <v>0.91</v>
      </c>
      <c r="C76" s="3" t="n">
        <v>0.08</v>
      </c>
      <c r="D76" s="3" t="n">
        <v>0.71</v>
      </c>
      <c r="E76" s="3" t="n">
        <v>0.17</v>
      </c>
      <c r="F76" s="3" t="n">
        <v>0.03</v>
      </c>
      <c r="G76" s="3" t="n">
        <v>1.53</v>
      </c>
      <c r="H76" s="3" t="n">
        <v>8</v>
      </c>
      <c r="I76" s="4" t="n">
        <f aca="false">B76+C76+D76</f>
        <v>1.7</v>
      </c>
      <c r="J76" s="4" t="n">
        <f aca="false">I76-E76</f>
        <v>1.53</v>
      </c>
      <c r="K76" s="4" t="n">
        <f aca="false">G76-J76</f>
        <v>0</v>
      </c>
      <c r="L76" s="5" t="n">
        <f aca="false">IF(I76=0,0,E76/I76*100)</f>
        <v>10</v>
      </c>
      <c r="M76" s="5" t="n">
        <f aca="false">IF(E76=0,0,F76/E76*100)</f>
        <v>17.6470588235294</v>
      </c>
      <c r="N76" s="5" t="n">
        <f aca="false">IF(G75=0,0,(G76-G75)/G75*100)</f>
        <v>3.37837837837838</v>
      </c>
      <c r="O76" s="5" t="n">
        <f aca="false">IF(I76=0,0,B76/I76*100)</f>
        <v>53.5294117647059</v>
      </c>
      <c r="P76" s="3" t="str">
        <f aca="false">IF(A76&lt;1950,"Pre-plastic (1900-1949)",IF(A76&lt;1990,"Plastic boom (1950-1989)","Modern (1990-2026)"))</f>
        <v>Plastic boom (1950-1989)</v>
      </c>
    </row>
    <row r="77" customFormat="false" ht="15" hidden="false" customHeight="false" outlineLevel="0" collapsed="false">
      <c r="A77" s="3" t="n">
        <v>1975</v>
      </c>
      <c r="B77" s="3" t="n">
        <v>0.95</v>
      </c>
      <c r="C77" s="3" t="n">
        <v>0.09</v>
      </c>
      <c r="D77" s="3" t="n">
        <v>0.72</v>
      </c>
      <c r="E77" s="3" t="n">
        <v>0.17</v>
      </c>
      <c r="F77" s="3" t="n">
        <v>0.03</v>
      </c>
      <c r="G77" s="3" t="n">
        <v>1.59</v>
      </c>
      <c r="H77" s="3" t="n">
        <v>9</v>
      </c>
      <c r="I77" s="4" t="n">
        <f aca="false">B77+C77+D77</f>
        <v>1.76</v>
      </c>
      <c r="J77" s="4" t="n">
        <f aca="false">I77-E77</f>
        <v>1.59</v>
      </c>
      <c r="K77" s="4" t="n">
        <f aca="false">G77-J77</f>
        <v>0</v>
      </c>
      <c r="L77" s="5" t="n">
        <f aca="false">IF(I77=0,0,E77/I77*100)</f>
        <v>9.65909090909091</v>
      </c>
      <c r="M77" s="5" t="n">
        <f aca="false">IF(E77=0,0,F77/E77*100)</f>
        <v>17.6470588235294</v>
      </c>
      <c r="N77" s="5" t="n">
        <f aca="false">IF(G76=0,0,(G77-G76)/G76*100)</f>
        <v>3.92156862745098</v>
      </c>
      <c r="O77" s="5" t="n">
        <f aca="false">IF(I77=0,0,B77/I77*100)</f>
        <v>53.9772727272727</v>
      </c>
      <c r="P77" s="3" t="str">
        <f aca="false">IF(A77&lt;1950,"Pre-plastic (1900-1949)",IF(A77&lt;1990,"Plastic boom (1950-1989)","Modern (1990-2026)"))</f>
        <v>Plastic boom (1950-1989)</v>
      </c>
    </row>
    <row r="78" customFormat="false" ht="15" hidden="false" customHeight="false" outlineLevel="0" collapsed="false">
      <c r="A78" s="3" t="n">
        <v>1976</v>
      </c>
      <c r="B78" s="3" t="n">
        <v>0.99</v>
      </c>
      <c r="C78" s="3" t="n">
        <v>0.09</v>
      </c>
      <c r="D78" s="3" t="n">
        <v>0.73</v>
      </c>
      <c r="E78" s="3" t="n">
        <v>0.17</v>
      </c>
      <c r="F78" s="3" t="n">
        <v>0.03</v>
      </c>
      <c r="G78" s="3" t="n">
        <v>1.64</v>
      </c>
      <c r="H78" s="3" t="n">
        <v>9</v>
      </c>
      <c r="I78" s="4" t="n">
        <f aca="false">B78+C78+D78</f>
        <v>1.81</v>
      </c>
      <c r="J78" s="4" t="n">
        <f aca="false">I78-E78</f>
        <v>1.64</v>
      </c>
      <c r="K78" s="4" t="n">
        <f aca="false">G78-J78</f>
        <v>0</v>
      </c>
      <c r="L78" s="5" t="n">
        <f aca="false">IF(I78=0,0,E78/I78*100)</f>
        <v>9.39226519337017</v>
      </c>
      <c r="M78" s="5" t="n">
        <f aca="false">IF(E78=0,0,F78/E78*100)</f>
        <v>17.6470588235294</v>
      </c>
      <c r="N78" s="5" t="n">
        <f aca="false">IF(G77=0,0,(G78-G77)/G77*100)</f>
        <v>3.1446540880503</v>
      </c>
      <c r="O78" s="5" t="n">
        <f aca="false">IF(I78=0,0,B78/I78*100)</f>
        <v>54.6961325966851</v>
      </c>
      <c r="P78" s="3" t="str">
        <f aca="false">IF(A78&lt;1950,"Pre-plastic (1900-1949)",IF(A78&lt;1990,"Plastic boom (1950-1989)","Modern (1990-2026)"))</f>
        <v>Plastic boom (1950-1989)</v>
      </c>
    </row>
    <row r="79" customFormat="false" ht="15" hidden="false" customHeight="false" outlineLevel="0" collapsed="false">
      <c r="A79" s="3" t="n">
        <v>1977</v>
      </c>
      <c r="B79" s="3" t="n">
        <v>1.02</v>
      </c>
      <c r="C79" s="3" t="n">
        <v>0.09</v>
      </c>
      <c r="D79" s="3" t="n">
        <v>0.73</v>
      </c>
      <c r="E79" s="3" t="n">
        <v>0.18</v>
      </c>
      <c r="F79" s="3" t="n">
        <v>0.04</v>
      </c>
      <c r="G79" s="3" t="n">
        <v>1.66</v>
      </c>
      <c r="H79" s="3" t="n">
        <v>9</v>
      </c>
      <c r="I79" s="4" t="n">
        <f aca="false">B79+C79+D79</f>
        <v>1.84</v>
      </c>
      <c r="J79" s="4" t="n">
        <f aca="false">I79-E79</f>
        <v>1.66</v>
      </c>
      <c r="K79" s="4" t="n">
        <f aca="false">G79-J79</f>
        <v>0</v>
      </c>
      <c r="L79" s="5" t="n">
        <f aca="false">IF(I79=0,0,E79/I79*100)</f>
        <v>9.78260869565217</v>
      </c>
      <c r="M79" s="5" t="n">
        <f aca="false">IF(E79=0,0,F79/E79*100)</f>
        <v>22.2222222222222</v>
      </c>
      <c r="N79" s="5" t="n">
        <f aca="false">IF(G78=0,0,(G79-G78)/G78*100)</f>
        <v>1.21951219512195</v>
      </c>
      <c r="O79" s="5" t="n">
        <f aca="false">IF(I79=0,0,B79/I79*100)</f>
        <v>55.4347826086957</v>
      </c>
      <c r="P79" s="3" t="str">
        <f aca="false">IF(A79&lt;1950,"Pre-plastic (1900-1949)",IF(A79&lt;1990,"Plastic boom (1950-1989)","Modern (1990-2026)"))</f>
        <v>Plastic boom (1950-1989)</v>
      </c>
    </row>
    <row r="80" customFormat="false" ht="15" hidden="false" customHeight="false" outlineLevel="0" collapsed="false">
      <c r="A80" s="3" t="n">
        <v>1978</v>
      </c>
      <c r="B80" s="3" t="n">
        <v>1.06</v>
      </c>
      <c r="C80" s="3" t="n">
        <v>0.09</v>
      </c>
      <c r="D80" s="3" t="n">
        <v>0.74</v>
      </c>
      <c r="E80" s="3" t="n">
        <v>0.18</v>
      </c>
      <c r="F80" s="3" t="n">
        <v>0.04</v>
      </c>
      <c r="G80" s="3" t="n">
        <v>1.71</v>
      </c>
      <c r="H80" s="3" t="n">
        <v>9</v>
      </c>
      <c r="I80" s="4" t="n">
        <f aca="false">B80+C80+D80</f>
        <v>1.89</v>
      </c>
      <c r="J80" s="4" t="n">
        <f aca="false">I80-E80</f>
        <v>1.71</v>
      </c>
      <c r="K80" s="4" t="n">
        <f aca="false">G80-J80</f>
        <v>0</v>
      </c>
      <c r="L80" s="5" t="n">
        <f aca="false">IF(I80=0,0,E80/I80*100)</f>
        <v>9.52380952380952</v>
      </c>
      <c r="M80" s="5" t="n">
        <f aca="false">IF(E80=0,0,F80/E80*100)</f>
        <v>22.2222222222222</v>
      </c>
      <c r="N80" s="5" t="n">
        <f aca="false">IF(G79=0,0,(G80-G79)/G79*100)</f>
        <v>3.01204819277109</v>
      </c>
      <c r="O80" s="5" t="n">
        <f aca="false">IF(I80=0,0,B80/I80*100)</f>
        <v>56.0846560846561</v>
      </c>
      <c r="P80" s="3" t="str">
        <f aca="false">IF(A80&lt;1950,"Pre-plastic (1900-1949)",IF(A80&lt;1990,"Plastic boom (1950-1989)","Modern (1990-2026)"))</f>
        <v>Plastic boom (1950-1989)</v>
      </c>
    </row>
    <row r="81" customFormat="false" ht="15" hidden="false" customHeight="false" outlineLevel="0" collapsed="false">
      <c r="A81" s="3" t="n">
        <v>1979</v>
      </c>
      <c r="B81" s="3" t="n">
        <v>1.1</v>
      </c>
      <c r="C81" s="3" t="n">
        <v>0.09</v>
      </c>
      <c r="D81" s="3" t="n">
        <v>0.75</v>
      </c>
      <c r="E81" s="3" t="n">
        <v>0.18</v>
      </c>
      <c r="F81" s="3" t="n">
        <v>0.04</v>
      </c>
      <c r="G81" s="3" t="n">
        <v>1.76</v>
      </c>
      <c r="H81" s="3" t="n">
        <v>9</v>
      </c>
      <c r="I81" s="4" t="n">
        <f aca="false">B81+C81+D81</f>
        <v>1.94</v>
      </c>
      <c r="J81" s="4" t="n">
        <f aca="false">I81-E81</f>
        <v>1.76</v>
      </c>
      <c r="K81" s="4" t="n">
        <f aca="false">G81-J81</f>
        <v>0</v>
      </c>
      <c r="L81" s="5" t="n">
        <f aca="false">IF(I81=0,0,E81/I81*100)</f>
        <v>9.27835051546392</v>
      </c>
      <c r="M81" s="5" t="n">
        <f aca="false">IF(E81=0,0,F81/E81*100)</f>
        <v>22.2222222222222</v>
      </c>
      <c r="N81" s="5" t="n">
        <f aca="false">IF(G80=0,0,(G81-G80)/G80*100)</f>
        <v>2.92397660818714</v>
      </c>
      <c r="O81" s="5" t="n">
        <f aca="false">IF(I81=0,0,B81/I81*100)</f>
        <v>56.7010309278351</v>
      </c>
      <c r="P81" s="3" t="str">
        <f aca="false">IF(A81&lt;1950,"Pre-plastic (1900-1949)",IF(A81&lt;1990,"Plastic boom (1950-1989)","Modern (1990-2026)"))</f>
        <v>Plastic boom (1950-1989)</v>
      </c>
    </row>
    <row r="82" customFormat="false" ht="15" hidden="false" customHeight="false" outlineLevel="0" collapsed="false">
      <c r="A82" s="3" t="n">
        <v>1980</v>
      </c>
      <c r="B82" s="3" t="n">
        <v>1.2</v>
      </c>
      <c r="C82" s="3" t="n">
        <v>0.1</v>
      </c>
      <c r="D82" s="3" t="n">
        <v>0.8</v>
      </c>
      <c r="E82" s="3" t="n">
        <v>0.2</v>
      </c>
      <c r="F82" s="3" t="n">
        <v>0.05</v>
      </c>
      <c r="G82" s="3" t="n">
        <v>1.9</v>
      </c>
      <c r="H82" s="3" t="n">
        <v>10</v>
      </c>
      <c r="I82" s="4" t="n">
        <f aca="false">B82+C82+D82</f>
        <v>2.1</v>
      </c>
      <c r="J82" s="4" t="n">
        <f aca="false">I82-E82</f>
        <v>1.9</v>
      </c>
      <c r="K82" s="4" t="n">
        <f aca="false">G82-J82</f>
        <v>0</v>
      </c>
      <c r="L82" s="5" t="n">
        <f aca="false">IF(I82=0,0,E82/I82*100)</f>
        <v>9.52380952380952</v>
      </c>
      <c r="M82" s="5" t="n">
        <f aca="false">IF(E82=0,0,F82/E82*100)</f>
        <v>25</v>
      </c>
      <c r="N82" s="5" t="n">
        <f aca="false">IF(G81=0,0,(G82-G81)/G81*100)</f>
        <v>7.95454545454545</v>
      </c>
      <c r="O82" s="5" t="n">
        <f aca="false">IF(I82=0,0,B82/I82*100)</f>
        <v>57.1428571428571</v>
      </c>
      <c r="P82" s="3" t="str">
        <f aca="false">IF(A82&lt;1950,"Pre-plastic (1900-1949)",IF(A82&lt;1990,"Plastic boom (1950-1989)","Modern (1990-2026)"))</f>
        <v>Plastic boom (1950-1989)</v>
      </c>
    </row>
    <row r="83" customFormat="false" ht="15" hidden="false" customHeight="false" outlineLevel="0" collapsed="false">
      <c r="A83" s="3" t="n">
        <v>1981</v>
      </c>
      <c r="B83" s="3" t="n">
        <v>1.4</v>
      </c>
      <c r="C83" s="3" t="n">
        <v>0.12</v>
      </c>
      <c r="D83" s="3" t="n">
        <v>0.85</v>
      </c>
      <c r="E83" s="3" t="n">
        <v>0.25</v>
      </c>
      <c r="F83" s="3" t="n">
        <v>0.06</v>
      </c>
      <c r="G83" s="3" t="n">
        <v>2.12</v>
      </c>
      <c r="H83" s="3" t="n">
        <v>11</v>
      </c>
      <c r="I83" s="4" t="n">
        <f aca="false">B83+C83+D83</f>
        <v>2.37</v>
      </c>
      <c r="J83" s="4" t="n">
        <f aca="false">I83-E83</f>
        <v>2.12</v>
      </c>
      <c r="K83" s="4" t="n">
        <f aca="false">G83-J83</f>
        <v>0</v>
      </c>
      <c r="L83" s="5" t="n">
        <f aca="false">IF(I83=0,0,E83/I83*100)</f>
        <v>10.5485232067511</v>
      </c>
      <c r="M83" s="5" t="n">
        <f aca="false">IF(E83=0,0,F83/E83*100)</f>
        <v>24</v>
      </c>
      <c r="N83" s="5" t="n">
        <f aca="false">IF(G82=0,0,(G83-G82)/G82*100)</f>
        <v>11.5789473684211</v>
      </c>
      <c r="O83" s="5" t="n">
        <f aca="false">IF(I83=0,0,B83/I83*100)</f>
        <v>59.0717299578059</v>
      </c>
      <c r="P83" s="3" t="str">
        <f aca="false">IF(A83&lt;1950,"Pre-plastic (1900-1949)",IF(A83&lt;1990,"Plastic boom (1950-1989)","Modern (1990-2026)"))</f>
        <v>Plastic boom (1950-1989)</v>
      </c>
    </row>
    <row r="84" customFormat="false" ht="15" hidden="false" customHeight="false" outlineLevel="0" collapsed="false">
      <c r="A84" s="3" t="n">
        <v>1982</v>
      </c>
      <c r="B84" s="3" t="n">
        <v>1.6</v>
      </c>
      <c r="C84" s="3" t="n">
        <v>0.13</v>
      </c>
      <c r="D84" s="3" t="n">
        <v>0.9</v>
      </c>
      <c r="E84" s="3" t="n">
        <v>0.3</v>
      </c>
      <c r="F84" s="3" t="n">
        <v>0.08</v>
      </c>
      <c r="G84" s="3" t="n">
        <v>2.33</v>
      </c>
      <c r="H84" s="3" t="n">
        <v>11</v>
      </c>
      <c r="I84" s="4" t="n">
        <f aca="false">B84+C84+D84</f>
        <v>2.63</v>
      </c>
      <c r="J84" s="4" t="n">
        <f aca="false">I84-E84</f>
        <v>2.33</v>
      </c>
      <c r="K84" s="4" t="n">
        <f aca="false">G84-J84</f>
        <v>0</v>
      </c>
      <c r="L84" s="5" t="n">
        <f aca="false">IF(I84=0,0,E84/I84*100)</f>
        <v>11.4068441064639</v>
      </c>
      <c r="M84" s="5" t="n">
        <f aca="false">IF(E84=0,0,F84/E84*100)</f>
        <v>26.6666666666667</v>
      </c>
      <c r="N84" s="5" t="n">
        <f aca="false">IF(G83=0,0,(G84-G83)/G83*100)</f>
        <v>9.90566037735849</v>
      </c>
      <c r="O84" s="5" t="n">
        <f aca="false">IF(I84=0,0,B84/I84*100)</f>
        <v>60.8365019011407</v>
      </c>
      <c r="P84" s="3" t="str">
        <f aca="false">IF(A84&lt;1950,"Pre-plastic (1900-1949)",IF(A84&lt;1990,"Plastic boom (1950-1989)","Modern (1990-2026)"))</f>
        <v>Plastic boom (1950-1989)</v>
      </c>
    </row>
    <row r="85" customFormat="false" ht="15" hidden="false" customHeight="false" outlineLevel="0" collapsed="false">
      <c r="A85" s="3" t="n">
        <v>1983</v>
      </c>
      <c r="B85" s="3" t="n">
        <v>1.8</v>
      </c>
      <c r="C85" s="3" t="n">
        <v>0.15</v>
      </c>
      <c r="D85" s="3" t="n">
        <v>0.95</v>
      </c>
      <c r="E85" s="3" t="n">
        <v>0.35</v>
      </c>
      <c r="F85" s="3" t="n">
        <v>0.09</v>
      </c>
      <c r="G85" s="3" t="n">
        <v>2.55</v>
      </c>
      <c r="H85" s="3" t="n">
        <v>12</v>
      </c>
      <c r="I85" s="4" t="n">
        <f aca="false">B85+C85+D85</f>
        <v>2.9</v>
      </c>
      <c r="J85" s="4" t="n">
        <f aca="false">I85-E85</f>
        <v>2.55</v>
      </c>
      <c r="K85" s="4" t="n">
        <f aca="false">G85-J85</f>
        <v>0</v>
      </c>
      <c r="L85" s="5" t="n">
        <f aca="false">IF(I85=0,0,E85/I85*100)</f>
        <v>12.0689655172414</v>
      </c>
      <c r="M85" s="5" t="n">
        <f aca="false">IF(E85=0,0,F85/E85*100)</f>
        <v>25.7142857142857</v>
      </c>
      <c r="N85" s="5" t="n">
        <f aca="false">IF(G84=0,0,(G85-G84)/G84*100)</f>
        <v>9.4420600858369</v>
      </c>
      <c r="O85" s="5" t="n">
        <f aca="false">IF(I85=0,0,B85/I85*100)</f>
        <v>62.0689655172414</v>
      </c>
      <c r="P85" s="3" t="str">
        <f aca="false">IF(A85&lt;1950,"Pre-plastic (1900-1949)",IF(A85&lt;1990,"Plastic boom (1950-1989)","Modern (1990-2026)"))</f>
        <v>Plastic boom (1950-1989)</v>
      </c>
    </row>
    <row r="86" customFormat="false" ht="15" hidden="false" customHeight="false" outlineLevel="0" collapsed="false">
      <c r="A86" s="3" t="n">
        <v>1984</v>
      </c>
      <c r="B86" s="3" t="n">
        <v>2</v>
      </c>
      <c r="C86" s="3" t="n">
        <v>0.17</v>
      </c>
      <c r="D86" s="3" t="n">
        <v>1</v>
      </c>
      <c r="E86" s="3" t="n">
        <v>0.4</v>
      </c>
      <c r="F86" s="3" t="n">
        <v>0.11</v>
      </c>
      <c r="G86" s="3" t="n">
        <v>2.77</v>
      </c>
      <c r="H86" s="3" t="n">
        <v>13</v>
      </c>
      <c r="I86" s="4" t="n">
        <f aca="false">B86+C86+D86</f>
        <v>3.17</v>
      </c>
      <c r="J86" s="4" t="n">
        <f aca="false">I86-E86</f>
        <v>2.77</v>
      </c>
      <c r="K86" s="4" t="n">
        <f aca="false">G86-J86</f>
        <v>0</v>
      </c>
      <c r="L86" s="5" t="n">
        <f aca="false">IF(I86=0,0,E86/I86*100)</f>
        <v>12.6182965299685</v>
      </c>
      <c r="M86" s="5" t="n">
        <f aca="false">IF(E86=0,0,F86/E86*100)</f>
        <v>27.5</v>
      </c>
      <c r="N86" s="5" t="n">
        <f aca="false">IF(G85=0,0,(G86-G85)/G85*100)</f>
        <v>8.62745098039217</v>
      </c>
      <c r="O86" s="5" t="n">
        <f aca="false">IF(I86=0,0,B86/I86*100)</f>
        <v>63.0914826498423</v>
      </c>
      <c r="P86" s="3" t="str">
        <f aca="false">IF(A86&lt;1950,"Pre-plastic (1900-1949)",IF(A86&lt;1990,"Plastic boom (1950-1989)","Modern (1990-2026)"))</f>
        <v>Plastic boom (1950-1989)</v>
      </c>
    </row>
    <row r="87" customFormat="false" ht="15" hidden="false" customHeight="false" outlineLevel="0" collapsed="false">
      <c r="A87" s="3" t="n">
        <v>1985</v>
      </c>
      <c r="B87" s="3" t="n">
        <v>2.2</v>
      </c>
      <c r="C87" s="3" t="n">
        <v>0.19</v>
      </c>
      <c r="D87" s="3" t="n">
        <v>1.05</v>
      </c>
      <c r="E87" s="3" t="n">
        <v>0.45</v>
      </c>
      <c r="F87" s="3" t="n">
        <v>0.12</v>
      </c>
      <c r="G87" s="3" t="n">
        <v>2.99</v>
      </c>
      <c r="H87" s="3" t="n">
        <v>13</v>
      </c>
      <c r="I87" s="4" t="n">
        <f aca="false">B87+C87+D87</f>
        <v>3.44</v>
      </c>
      <c r="J87" s="4" t="n">
        <f aca="false">I87-E87</f>
        <v>2.99</v>
      </c>
      <c r="K87" s="4" t="n">
        <f aca="false">G87-J87</f>
        <v>0</v>
      </c>
      <c r="L87" s="5" t="n">
        <f aca="false">IF(I87=0,0,E87/I87*100)</f>
        <v>13.0813953488372</v>
      </c>
      <c r="M87" s="5" t="n">
        <f aca="false">IF(E87=0,0,F87/E87*100)</f>
        <v>26.6666666666667</v>
      </c>
      <c r="N87" s="5" t="n">
        <f aca="false">IF(G86=0,0,(G87-G86)/G86*100)</f>
        <v>7.94223826714802</v>
      </c>
      <c r="O87" s="5" t="n">
        <f aca="false">IF(I87=0,0,B87/I87*100)</f>
        <v>63.953488372093</v>
      </c>
      <c r="P87" s="3" t="str">
        <f aca="false">IF(A87&lt;1950,"Pre-plastic (1900-1949)",IF(A87&lt;1990,"Plastic boom (1950-1989)","Modern (1990-2026)"))</f>
        <v>Plastic boom (1950-1989)</v>
      </c>
    </row>
    <row r="88" customFormat="false" ht="15" hidden="false" customHeight="false" outlineLevel="0" collapsed="false">
      <c r="A88" s="3" t="n">
        <v>1986</v>
      </c>
      <c r="B88" s="3" t="n">
        <v>2.4</v>
      </c>
      <c r="C88" s="3" t="n">
        <v>0.2</v>
      </c>
      <c r="D88" s="3" t="n">
        <v>1.1</v>
      </c>
      <c r="E88" s="3" t="n">
        <v>0.5</v>
      </c>
      <c r="F88" s="3" t="n">
        <v>0.14</v>
      </c>
      <c r="G88" s="3" t="n">
        <v>3.2</v>
      </c>
      <c r="H88" s="3" t="n">
        <v>14</v>
      </c>
      <c r="I88" s="4" t="n">
        <f aca="false">B88+C88+D88</f>
        <v>3.7</v>
      </c>
      <c r="J88" s="4" t="n">
        <f aca="false">I88-E88</f>
        <v>3.2</v>
      </c>
      <c r="K88" s="4" t="n">
        <f aca="false">G88-J88</f>
        <v>0</v>
      </c>
      <c r="L88" s="5" t="n">
        <f aca="false">IF(I88=0,0,E88/I88*100)</f>
        <v>13.5135135135135</v>
      </c>
      <c r="M88" s="5" t="n">
        <f aca="false">IF(E88=0,0,F88/E88*100)</f>
        <v>28</v>
      </c>
      <c r="N88" s="5" t="n">
        <f aca="false">IF(G87=0,0,(G88-G87)/G87*100)</f>
        <v>7.02341137123746</v>
      </c>
      <c r="O88" s="5" t="n">
        <f aca="false">IF(I88=0,0,B88/I88*100)</f>
        <v>64.8648648648649</v>
      </c>
      <c r="P88" s="3" t="str">
        <f aca="false">IF(A88&lt;1950,"Pre-plastic (1900-1949)",IF(A88&lt;1990,"Plastic boom (1950-1989)","Modern (1990-2026)"))</f>
        <v>Plastic boom (1950-1989)</v>
      </c>
    </row>
    <row r="89" customFormat="false" ht="15" hidden="false" customHeight="false" outlineLevel="0" collapsed="false">
      <c r="A89" s="3" t="n">
        <v>1987</v>
      </c>
      <c r="B89" s="3" t="n">
        <v>2.6</v>
      </c>
      <c r="C89" s="3" t="n">
        <v>0.22</v>
      </c>
      <c r="D89" s="3" t="n">
        <v>1.15</v>
      </c>
      <c r="E89" s="3" t="n">
        <v>0.55</v>
      </c>
      <c r="F89" s="3" t="n">
        <v>0.15</v>
      </c>
      <c r="G89" s="3" t="n">
        <v>3.42</v>
      </c>
      <c r="H89" s="3" t="n">
        <v>14</v>
      </c>
      <c r="I89" s="4" t="n">
        <f aca="false">B89+C89+D89</f>
        <v>3.97</v>
      </c>
      <c r="J89" s="4" t="n">
        <f aca="false">I89-E89</f>
        <v>3.42</v>
      </c>
      <c r="K89" s="4" t="n">
        <f aca="false">G89-J89</f>
        <v>0</v>
      </c>
      <c r="L89" s="5" t="n">
        <f aca="false">IF(I89=0,0,E89/I89*100)</f>
        <v>13.8539042821159</v>
      </c>
      <c r="M89" s="5" t="n">
        <f aca="false">IF(E89=0,0,F89/E89*100)</f>
        <v>27.2727272727273</v>
      </c>
      <c r="N89" s="5" t="n">
        <f aca="false">IF(G88=0,0,(G89-G88)/G88*100)</f>
        <v>6.87499999999999</v>
      </c>
      <c r="O89" s="5" t="n">
        <f aca="false">IF(I89=0,0,B89/I89*100)</f>
        <v>65.4911838790932</v>
      </c>
      <c r="P89" s="3" t="str">
        <f aca="false">IF(A89&lt;1950,"Pre-plastic (1900-1949)",IF(A89&lt;1990,"Plastic boom (1950-1989)","Modern (1990-2026)"))</f>
        <v>Plastic boom (1950-1989)</v>
      </c>
    </row>
    <row r="90" customFormat="false" ht="15" hidden="false" customHeight="false" outlineLevel="0" collapsed="false">
      <c r="A90" s="3" t="n">
        <v>1988</v>
      </c>
      <c r="B90" s="3" t="n">
        <v>2.8</v>
      </c>
      <c r="C90" s="3" t="n">
        <v>0.24</v>
      </c>
      <c r="D90" s="3" t="n">
        <v>1.2</v>
      </c>
      <c r="E90" s="3" t="n">
        <v>0.6</v>
      </c>
      <c r="F90" s="3" t="n">
        <v>0.17</v>
      </c>
      <c r="G90" s="3" t="n">
        <v>3.64</v>
      </c>
      <c r="H90" s="3" t="n">
        <v>15</v>
      </c>
      <c r="I90" s="4" t="n">
        <f aca="false">B90+C90+D90</f>
        <v>4.24</v>
      </c>
      <c r="J90" s="4" t="n">
        <f aca="false">I90-E90</f>
        <v>3.64</v>
      </c>
      <c r="K90" s="4" t="n">
        <f aca="false">G90-J90</f>
        <v>0</v>
      </c>
      <c r="L90" s="5" t="n">
        <f aca="false">IF(I90=0,0,E90/I90*100)</f>
        <v>14.1509433962264</v>
      </c>
      <c r="M90" s="5" t="n">
        <f aca="false">IF(E90=0,0,F90/E90*100)</f>
        <v>28.3333333333333</v>
      </c>
      <c r="N90" s="5" t="n">
        <f aca="false">IF(G89=0,0,(G90-G89)/G89*100)</f>
        <v>6.4327485380117</v>
      </c>
      <c r="O90" s="5" t="n">
        <f aca="false">IF(I90=0,0,B90/I90*100)</f>
        <v>66.0377358490566</v>
      </c>
      <c r="P90" s="3" t="str">
        <f aca="false">IF(A90&lt;1950,"Pre-plastic (1900-1949)",IF(A90&lt;1990,"Plastic boom (1950-1989)","Modern (1990-2026)"))</f>
        <v>Plastic boom (1950-1989)</v>
      </c>
    </row>
    <row r="91" customFormat="false" ht="15" hidden="false" customHeight="false" outlineLevel="0" collapsed="false">
      <c r="A91" s="3" t="n">
        <v>1989</v>
      </c>
      <c r="B91" s="3" t="n">
        <v>3</v>
      </c>
      <c r="C91" s="3" t="n">
        <v>0.26</v>
      </c>
      <c r="D91" s="3" t="n">
        <v>1.25</v>
      </c>
      <c r="E91" s="3" t="n">
        <v>0.65</v>
      </c>
      <c r="F91" s="3" t="n">
        <v>0.18</v>
      </c>
      <c r="G91" s="3" t="n">
        <v>3.86</v>
      </c>
      <c r="H91" s="3" t="n">
        <v>16</v>
      </c>
      <c r="I91" s="4" t="n">
        <f aca="false">B91+C91+D91</f>
        <v>4.51</v>
      </c>
      <c r="J91" s="4" t="n">
        <f aca="false">I91-E91</f>
        <v>3.86</v>
      </c>
      <c r="K91" s="4" t="n">
        <f aca="false">G91-J91</f>
        <v>0</v>
      </c>
      <c r="L91" s="5" t="n">
        <f aca="false">IF(I91=0,0,E91/I91*100)</f>
        <v>14.4124168514412</v>
      </c>
      <c r="M91" s="5" t="n">
        <f aca="false">IF(E91=0,0,F91/E91*100)</f>
        <v>27.6923076923077</v>
      </c>
      <c r="N91" s="5" t="n">
        <f aca="false">IF(G90=0,0,(G91-G90)/G90*100)</f>
        <v>6.04395604395604</v>
      </c>
      <c r="O91" s="5" t="n">
        <f aca="false">IF(I91=0,0,B91/I91*100)</f>
        <v>66.5188470066519</v>
      </c>
      <c r="P91" s="3" t="str">
        <f aca="false">IF(A91&lt;1950,"Pre-plastic (1900-1949)",IF(A91&lt;1990,"Plastic boom (1950-1989)","Modern (1990-2026)"))</f>
        <v>Plastic boom (1950-1989)</v>
      </c>
    </row>
    <row r="92" customFormat="false" ht="15" hidden="false" customHeight="false" outlineLevel="0" collapsed="false">
      <c r="A92" s="3" t="n">
        <v>1990</v>
      </c>
      <c r="B92" s="3" t="n">
        <v>3.2</v>
      </c>
      <c r="C92" s="3" t="n">
        <v>0.28</v>
      </c>
      <c r="D92" s="3" t="n">
        <v>1.3</v>
      </c>
      <c r="E92" s="3" t="n">
        <v>0.7</v>
      </c>
      <c r="F92" s="3" t="n">
        <v>0.2</v>
      </c>
      <c r="G92" s="3" t="n">
        <v>4.08</v>
      </c>
      <c r="H92" s="3" t="n">
        <v>16</v>
      </c>
      <c r="I92" s="4" t="n">
        <f aca="false">B92+C92+D92</f>
        <v>4.78</v>
      </c>
      <c r="J92" s="4" t="n">
        <f aca="false">I92-E92</f>
        <v>4.08</v>
      </c>
      <c r="K92" s="4" t="n">
        <f aca="false">G92-J92</f>
        <v>0</v>
      </c>
      <c r="L92" s="5" t="n">
        <f aca="false">IF(I92=0,0,E92/I92*100)</f>
        <v>14.6443514644351</v>
      </c>
      <c r="M92" s="5" t="n">
        <f aca="false">IF(E92=0,0,F92/E92*100)</f>
        <v>28.5714285714286</v>
      </c>
      <c r="N92" s="5" t="n">
        <f aca="false">IF(G91=0,0,(G92-G91)/G91*100)</f>
        <v>5.69948186528498</v>
      </c>
      <c r="O92" s="5" t="n">
        <f aca="false">IF(I92=0,0,B92/I92*100)</f>
        <v>66.9456066945607</v>
      </c>
      <c r="P92" s="3" t="str">
        <f aca="false">IF(A92&lt;1950,"Pre-plastic (1900-1949)",IF(A92&lt;1990,"Plastic boom (1950-1989)","Modern (1990-2026)"))</f>
        <v>Modern (1990-2026)</v>
      </c>
    </row>
    <row r="93" customFormat="false" ht="15" hidden="false" customHeight="false" outlineLevel="0" collapsed="false">
      <c r="A93" s="3" t="n">
        <v>1991</v>
      </c>
      <c r="B93" s="3" t="n">
        <v>3.4</v>
      </c>
      <c r="C93" s="3" t="n">
        <v>0.29</v>
      </c>
      <c r="D93" s="3" t="n">
        <v>1.35</v>
      </c>
      <c r="E93" s="3" t="n">
        <v>0.75</v>
      </c>
      <c r="F93" s="3" t="n">
        <v>0.21</v>
      </c>
      <c r="G93" s="3" t="n">
        <v>4.29</v>
      </c>
      <c r="H93" s="3" t="n">
        <v>17</v>
      </c>
      <c r="I93" s="4" t="n">
        <f aca="false">B93+C93+D93</f>
        <v>5.04</v>
      </c>
      <c r="J93" s="4" t="n">
        <f aca="false">I93-E93</f>
        <v>4.29</v>
      </c>
      <c r="K93" s="4" t="n">
        <f aca="false">G93-J93</f>
        <v>0</v>
      </c>
      <c r="L93" s="5" t="n">
        <f aca="false">IF(I93=0,0,E93/I93*100)</f>
        <v>14.8809523809524</v>
      </c>
      <c r="M93" s="5" t="n">
        <f aca="false">IF(E93=0,0,F93/E93*100)</f>
        <v>28</v>
      </c>
      <c r="N93" s="5" t="n">
        <f aca="false">IF(G92=0,0,(G93-G92)/G92*100)</f>
        <v>5.14705882352941</v>
      </c>
      <c r="O93" s="5" t="n">
        <f aca="false">IF(I93=0,0,B93/I93*100)</f>
        <v>67.4603174603175</v>
      </c>
      <c r="P93" s="3" t="str">
        <f aca="false">IF(A93&lt;1950,"Pre-plastic (1900-1949)",IF(A93&lt;1990,"Plastic boom (1950-1989)","Modern (1990-2026)"))</f>
        <v>Modern (1990-2026)</v>
      </c>
    </row>
    <row r="94" customFormat="false" ht="15" hidden="false" customHeight="false" outlineLevel="0" collapsed="false">
      <c r="A94" s="3" t="n">
        <v>1992</v>
      </c>
      <c r="B94" s="3" t="n">
        <v>3.6</v>
      </c>
      <c r="C94" s="3" t="n">
        <v>0.31</v>
      </c>
      <c r="D94" s="3" t="n">
        <v>1.4</v>
      </c>
      <c r="E94" s="3" t="n">
        <v>0.8</v>
      </c>
      <c r="F94" s="3" t="n">
        <v>0.23</v>
      </c>
      <c r="G94" s="3" t="n">
        <v>4.51</v>
      </c>
      <c r="H94" s="3" t="n">
        <v>18</v>
      </c>
      <c r="I94" s="4" t="n">
        <f aca="false">B94+C94+D94</f>
        <v>5.31</v>
      </c>
      <c r="J94" s="4" t="n">
        <f aca="false">I94-E94</f>
        <v>4.51</v>
      </c>
      <c r="K94" s="4" t="n">
        <f aca="false">G94-J94</f>
        <v>0</v>
      </c>
      <c r="L94" s="5" t="n">
        <f aca="false">IF(I94=0,0,E94/I94*100)</f>
        <v>15.0659133709981</v>
      </c>
      <c r="M94" s="5" t="n">
        <f aca="false">IF(E94=0,0,F94/E94*100)</f>
        <v>28.75</v>
      </c>
      <c r="N94" s="5" t="n">
        <f aca="false">IF(G93=0,0,(G94-G93)/G93*100)</f>
        <v>5.12820512820512</v>
      </c>
      <c r="O94" s="5" t="n">
        <f aca="false">IF(I94=0,0,B94/I94*100)</f>
        <v>67.7966101694915</v>
      </c>
      <c r="P94" s="3" t="str">
        <f aca="false">IF(A94&lt;1950,"Pre-plastic (1900-1949)",IF(A94&lt;1990,"Plastic boom (1950-1989)","Modern (1990-2026)"))</f>
        <v>Modern (1990-2026)</v>
      </c>
    </row>
    <row r="95" customFormat="false" ht="15" hidden="false" customHeight="false" outlineLevel="0" collapsed="false">
      <c r="A95" s="3" t="n">
        <v>1993</v>
      </c>
      <c r="B95" s="3" t="n">
        <v>3.8</v>
      </c>
      <c r="C95" s="3" t="n">
        <v>0.33</v>
      </c>
      <c r="D95" s="3" t="n">
        <v>1.45</v>
      </c>
      <c r="E95" s="3" t="n">
        <v>0.85</v>
      </c>
      <c r="F95" s="3" t="n">
        <v>0.24</v>
      </c>
      <c r="G95" s="3" t="n">
        <v>4.73</v>
      </c>
      <c r="H95" s="3" t="n">
        <v>18</v>
      </c>
      <c r="I95" s="4" t="n">
        <f aca="false">B95+C95+D95</f>
        <v>5.58</v>
      </c>
      <c r="J95" s="4" t="n">
        <f aca="false">I95-E95</f>
        <v>4.73</v>
      </c>
      <c r="K95" s="4" t="n">
        <f aca="false">G95-J95</f>
        <v>0</v>
      </c>
      <c r="L95" s="5" t="n">
        <f aca="false">IF(I95=0,0,E95/I95*100)</f>
        <v>15.2329749103943</v>
      </c>
      <c r="M95" s="5" t="n">
        <f aca="false">IF(E95=0,0,F95/E95*100)</f>
        <v>28.2352941176471</v>
      </c>
      <c r="N95" s="5" t="n">
        <f aca="false">IF(G94=0,0,(G95-G94)/G94*100)</f>
        <v>4.87804878048782</v>
      </c>
      <c r="O95" s="5" t="n">
        <f aca="false">IF(I95=0,0,B95/I95*100)</f>
        <v>68.1003584229391</v>
      </c>
      <c r="P95" s="3" t="str">
        <f aca="false">IF(A95&lt;1950,"Pre-plastic (1900-1949)",IF(A95&lt;1990,"Plastic boom (1950-1989)","Modern (1990-2026)"))</f>
        <v>Modern (1990-2026)</v>
      </c>
    </row>
    <row r="96" customFormat="false" ht="15" hidden="false" customHeight="false" outlineLevel="0" collapsed="false">
      <c r="A96" s="3" t="n">
        <v>1994</v>
      </c>
      <c r="B96" s="3" t="n">
        <v>4</v>
      </c>
      <c r="C96" s="3" t="n">
        <v>0.35</v>
      </c>
      <c r="D96" s="3" t="n">
        <v>1.5</v>
      </c>
      <c r="E96" s="3" t="n">
        <v>0.9</v>
      </c>
      <c r="F96" s="3" t="n">
        <v>0.26</v>
      </c>
      <c r="G96" s="3" t="n">
        <v>4.95</v>
      </c>
      <c r="H96" s="3" t="n">
        <v>19</v>
      </c>
      <c r="I96" s="4" t="n">
        <f aca="false">B96+C96+D96</f>
        <v>5.85</v>
      </c>
      <c r="J96" s="4" t="n">
        <f aca="false">I96-E96</f>
        <v>4.95</v>
      </c>
      <c r="K96" s="4" t="n">
        <f aca="false">G96-J96</f>
        <v>0</v>
      </c>
      <c r="L96" s="5" t="n">
        <f aca="false">IF(I96=0,0,E96/I96*100)</f>
        <v>15.3846153846154</v>
      </c>
      <c r="M96" s="5" t="n">
        <f aca="false">IF(E96=0,0,F96/E96*100)</f>
        <v>28.8888888888889</v>
      </c>
      <c r="N96" s="5" t="n">
        <f aca="false">IF(G95=0,0,(G96-G95)/G95*100)</f>
        <v>4.65116279069767</v>
      </c>
      <c r="O96" s="5" t="n">
        <f aca="false">IF(I96=0,0,B96/I96*100)</f>
        <v>68.3760683760684</v>
      </c>
      <c r="P96" s="3" t="str">
        <f aca="false">IF(A96&lt;1950,"Pre-plastic (1900-1949)",IF(A96&lt;1990,"Plastic boom (1950-1989)","Modern (1990-2026)"))</f>
        <v>Modern (1990-2026)</v>
      </c>
    </row>
    <row r="97" customFormat="false" ht="15" hidden="false" customHeight="false" outlineLevel="0" collapsed="false">
      <c r="A97" s="3" t="n">
        <v>1995</v>
      </c>
      <c r="B97" s="3" t="n">
        <v>4.2</v>
      </c>
      <c r="C97" s="3" t="n">
        <v>0.36</v>
      </c>
      <c r="D97" s="3" t="n">
        <v>1.55</v>
      </c>
      <c r="E97" s="3" t="n">
        <v>0.95</v>
      </c>
      <c r="F97" s="3" t="n">
        <v>0.27</v>
      </c>
      <c r="G97" s="3" t="n">
        <v>5.16</v>
      </c>
      <c r="H97" s="3" t="n">
        <v>19</v>
      </c>
      <c r="I97" s="4" t="n">
        <f aca="false">B97+C97+D97</f>
        <v>6.11</v>
      </c>
      <c r="J97" s="4" t="n">
        <f aca="false">I97-E97</f>
        <v>5.16</v>
      </c>
      <c r="K97" s="4" t="n">
        <f aca="false">G97-J97</f>
        <v>0</v>
      </c>
      <c r="L97" s="5" t="n">
        <f aca="false">IF(I97=0,0,E97/I97*100)</f>
        <v>15.5482815057283</v>
      </c>
      <c r="M97" s="5" t="n">
        <f aca="false">IF(E97=0,0,F97/E97*100)</f>
        <v>28.421052631579</v>
      </c>
      <c r="N97" s="5" t="n">
        <f aca="false">IF(G96=0,0,(G97-G96)/G96*100)</f>
        <v>4.24242424242424</v>
      </c>
      <c r="O97" s="5" t="n">
        <f aca="false">IF(I97=0,0,B97/I97*100)</f>
        <v>68.7397708674304</v>
      </c>
      <c r="P97" s="3" t="str">
        <f aca="false">IF(A97&lt;1950,"Pre-plastic (1900-1949)",IF(A97&lt;1990,"Plastic boom (1950-1989)","Modern (1990-2026)"))</f>
        <v>Modern (1990-2026)</v>
      </c>
    </row>
    <row r="98" customFormat="false" ht="15" hidden="false" customHeight="false" outlineLevel="0" collapsed="false">
      <c r="A98" s="3" t="n">
        <v>1996</v>
      </c>
      <c r="B98" s="3" t="n">
        <v>4.4</v>
      </c>
      <c r="C98" s="3" t="n">
        <v>0.38</v>
      </c>
      <c r="D98" s="3" t="n">
        <v>1.6</v>
      </c>
      <c r="E98" s="3" t="n">
        <v>1</v>
      </c>
      <c r="F98" s="3" t="n">
        <v>0.29</v>
      </c>
      <c r="G98" s="3" t="n">
        <v>5.38</v>
      </c>
      <c r="H98" s="3" t="n">
        <v>20</v>
      </c>
      <c r="I98" s="4" t="n">
        <f aca="false">B98+C98+D98</f>
        <v>6.38</v>
      </c>
      <c r="J98" s="4" t="n">
        <f aca="false">I98-E98</f>
        <v>5.38</v>
      </c>
      <c r="K98" s="4" t="n">
        <f aca="false">G98-J98</f>
        <v>0</v>
      </c>
      <c r="L98" s="5" t="n">
        <f aca="false">IF(I98=0,0,E98/I98*100)</f>
        <v>15.6739811912226</v>
      </c>
      <c r="M98" s="5" t="n">
        <f aca="false">IF(E98=0,0,F98/E98*100)</f>
        <v>29</v>
      </c>
      <c r="N98" s="5" t="n">
        <f aca="false">IF(G97=0,0,(G98-G97)/G97*100)</f>
        <v>4.26356589147286</v>
      </c>
      <c r="O98" s="5" t="n">
        <f aca="false">IF(I98=0,0,B98/I98*100)</f>
        <v>68.9655172413793</v>
      </c>
      <c r="P98" s="3" t="str">
        <f aca="false">IF(A98&lt;1950,"Pre-plastic (1900-1949)",IF(A98&lt;1990,"Plastic boom (1950-1989)","Modern (1990-2026)"))</f>
        <v>Modern (1990-2026)</v>
      </c>
    </row>
    <row r="99" customFormat="false" ht="15" hidden="false" customHeight="false" outlineLevel="0" collapsed="false">
      <c r="A99" s="3" t="n">
        <v>1997</v>
      </c>
      <c r="B99" s="3" t="n">
        <v>4.6</v>
      </c>
      <c r="C99" s="3" t="n">
        <v>0.4</v>
      </c>
      <c r="D99" s="3" t="n">
        <v>1.65</v>
      </c>
      <c r="E99" s="3" t="n">
        <v>1.05</v>
      </c>
      <c r="F99" s="3" t="n">
        <v>0.3</v>
      </c>
      <c r="G99" s="3" t="n">
        <v>5.6</v>
      </c>
      <c r="H99" s="3" t="n">
        <v>21</v>
      </c>
      <c r="I99" s="4" t="n">
        <f aca="false">B99+C99+D99</f>
        <v>6.65</v>
      </c>
      <c r="J99" s="4" t="n">
        <f aca="false">I99-E99</f>
        <v>5.6</v>
      </c>
      <c r="K99" s="4" t="n">
        <f aca="false">G99-J99</f>
        <v>0</v>
      </c>
      <c r="L99" s="5" t="n">
        <f aca="false">IF(I99=0,0,E99/I99*100)</f>
        <v>15.7894736842105</v>
      </c>
      <c r="M99" s="5" t="n">
        <f aca="false">IF(E99=0,0,F99/E99*100)</f>
        <v>28.5714285714286</v>
      </c>
      <c r="N99" s="5" t="n">
        <f aca="false">IF(G98=0,0,(G99-G98)/G98*100)</f>
        <v>4.08921933085501</v>
      </c>
      <c r="O99" s="5" t="n">
        <f aca="false">IF(I99=0,0,B99/I99*100)</f>
        <v>69.1729323308271</v>
      </c>
      <c r="P99" s="3" t="str">
        <f aca="false">IF(A99&lt;1950,"Pre-plastic (1900-1949)",IF(A99&lt;1990,"Plastic boom (1950-1989)","Modern (1990-2026)"))</f>
        <v>Modern (1990-2026)</v>
      </c>
    </row>
    <row r="100" customFormat="false" ht="15" hidden="false" customHeight="false" outlineLevel="0" collapsed="false">
      <c r="A100" s="3" t="n">
        <v>1998</v>
      </c>
      <c r="B100" s="3" t="n">
        <v>4.8</v>
      </c>
      <c r="C100" s="3" t="n">
        <v>0.42</v>
      </c>
      <c r="D100" s="3" t="n">
        <v>1.7</v>
      </c>
      <c r="E100" s="3" t="n">
        <v>1.1</v>
      </c>
      <c r="F100" s="3" t="n">
        <v>0.32</v>
      </c>
      <c r="G100" s="3" t="n">
        <v>5.82</v>
      </c>
      <c r="H100" s="3" t="n">
        <v>21</v>
      </c>
      <c r="I100" s="4" t="n">
        <f aca="false">B100+C100+D100</f>
        <v>6.92</v>
      </c>
      <c r="J100" s="4" t="n">
        <f aca="false">I100-E100</f>
        <v>5.82</v>
      </c>
      <c r="K100" s="4" t="n">
        <f aca="false">G100-J100</f>
        <v>0</v>
      </c>
      <c r="L100" s="5" t="n">
        <f aca="false">IF(I100=0,0,E100/I100*100)</f>
        <v>15.8959537572254</v>
      </c>
      <c r="M100" s="5" t="n">
        <f aca="false">IF(E100=0,0,F100/E100*100)</f>
        <v>29.0909090909091</v>
      </c>
      <c r="N100" s="5" t="n">
        <f aca="false">IF(G99=0,0,(G100-G99)/G99*100)</f>
        <v>3.92857142857144</v>
      </c>
      <c r="O100" s="5" t="n">
        <f aca="false">IF(I100=0,0,B100/I100*100)</f>
        <v>69.364161849711</v>
      </c>
      <c r="P100" s="3" t="str">
        <f aca="false">IF(A100&lt;1950,"Pre-plastic (1900-1949)",IF(A100&lt;1990,"Plastic boom (1950-1989)","Modern (1990-2026)"))</f>
        <v>Modern (1990-2026)</v>
      </c>
    </row>
    <row r="101" customFormat="false" ht="15" hidden="false" customHeight="false" outlineLevel="0" collapsed="false">
      <c r="A101" s="3" t="n">
        <v>1999</v>
      </c>
      <c r="B101" s="3" t="n">
        <v>5</v>
      </c>
      <c r="C101" s="3" t="n">
        <v>0.43</v>
      </c>
      <c r="D101" s="3" t="n">
        <v>1.75</v>
      </c>
      <c r="E101" s="3" t="n">
        <v>1.15</v>
      </c>
      <c r="F101" s="3" t="n">
        <v>0.33</v>
      </c>
      <c r="G101" s="3" t="n">
        <v>6.03</v>
      </c>
      <c r="H101" s="3" t="n">
        <v>22</v>
      </c>
      <c r="I101" s="4" t="n">
        <f aca="false">B101+C101+D101</f>
        <v>7.18</v>
      </c>
      <c r="J101" s="4" t="n">
        <f aca="false">I101-E101</f>
        <v>6.03</v>
      </c>
      <c r="K101" s="4" t="n">
        <f aca="false">G101-J101</f>
        <v>0</v>
      </c>
      <c r="L101" s="5" t="n">
        <f aca="false">IF(I101=0,0,E101/I101*100)</f>
        <v>16.016713091922</v>
      </c>
      <c r="M101" s="5" t="n">
        <f aca="false">IF(E101=0,0,F101/E101*100)</f>
        <v>28.695652173913</v>
      </c>
      <c r="N101" s="5" t="n">
        <f aca="false">IF(G100=0,0,(G101-G100)/G100*100)</f>
        <v>3.60824742268041</v>
      </c>
      <c r="O101" s="5" t="n">
        <f aca="false">IF(I101=0,0,B101/I101*100)</f>
        <v>69.6378830083566</v>
      </c>
      <c r="P101" s="3" t="str">
        <f aca="false">IF(A101&lt;1950,"Pre-plastic (1900-1949)",IF(A101&lt;1990,"Plastic boom (1950-1989)","Modern (1990-2026)"))</f>
        <v>Modern (1990-2026)</v>
      </c>
    </row>
    <row r="102" customFormat="false" ht="15" hidden="false" customHeight="false" outlineLevel="0" collapsed="false">
      <c r="A102" s="3" t="n">
        <v>2000</v>
      </c>
      <c r="B102" s="3" t="n">
        <v>5.2</v>
      </c>
      <c r="C102" s="3" t="n">
        <v>0.45</v>
      </c>
      <c r="D102" s="3" t="n">
        <v>1.8</v>
      </c>
      <c r="E102" s="3" t="n">
        <v>1.2</v>
      </c>
      <c r="F102" s="3" t="n">
        <v>0.35</v>
      </c>
      <c r="G102" s="3" t="n">
        <v>6.25</v>
      </c>
      <c r="H102" s="3" t="n">
        <v>23</v>
      </c>
      <c r="I102" s="4" t="n">
        <f aca="false">B102+C102+D102</f>
        <v>7.45</v>
      </c>
      <c r="J102" s="4" t="n">
        <f aca="false">I102-E102</f>
        <v>6.25</v>
      </c>
      <c r="K102" s="4" t="n">
        <f aca="false">G102-J102</f>
        <v>0</v>
      </c>
      <c r="L102" s="5" t="n">
        <f aca="false">IF(I102=0,0,E102/I102*100)</f>
        <v>16.1073825503356</v>
      </c>
      <c r="M102" s="5" t="n">
        <f aca="false">IF(E102=0,0,F102/E102*100)</f>
        <v>29.1666666666667</v>
      </c>
      <c r="N102" s="5" t="n">
        <f aca="false">IF(G101=0,0,(G102-G101)/G101*100)</f>
        <v>3.64842454394693</v>
      </c>
      <c r="O102" s="5" t="n">
        <f aca="false">IF(I102=0,0,B102/I102*100)</f>
        <v>69.7986577181208</v>
      </c>
      <c r="P102" s="3" t="str">
        <f aca="false">IF(A102&lt;1950,"Pre-plastic (1900-1949)",IF(A102&lt;1990,"Plastic boom (1950-1989)","Modern (1990-2026)"))</f>
        <v>Modern (1990-2026)</v>
      </c>
    </row>
    <row r="103" customFormat="false" ht="15" hidden="false" customHeight="false" outlineLevel="0" collapsed="false">
      <c r="A103" s="3" t="n">
        <v>2001</v>
      </c>
      <c r="B103" s="3" t="n">
        <v>5.4</v>
      </c>
      <c r="C103" s="3" t="n">
        <v>0.46</v>
      </c>
      <c r="D103" s="3" t="n">
        <v>1.85</v>
      </c>
      <c r="E103" s="3" t="n">
        <v>1.25</v>
      </c>
      <c r="F103" s="3" t="n">
        <v>0.37</v>
      </c>
      <c r="G103" s="3" t="n">
        <v>6.47</v>
      </c>
      <c r="H103" s="3" t="n">
        <v>23</v>
      </c>
      <c r="I103" s="4" t="n">
        <f aca="false">B103+C103+D103</f>
        <v>7.71</v>
      </c>
      <c r="J103" s="4" t="n">
        <f aca="false">I103-E103</f>
        <v>6.46</v>
      </c>
      <c r="K103" s="4" t="n">
        <f aca="false">G103-J103</f>
        <v>0.0099999999999989</v>
      </c>
      <c r="L103" s="5" t="n">
        <f aca="false">IF(I103=0,0,E103/I103*100)</f>
        <v>16.2127107652399</v>
      </c>
      <c r="M103" s="5" t="n">
        <f aca="false">IF(E103=0,0,F103/E103*100)</f>
        <v>29.6</v>
      </c>
      <c r="N103" s="5" t="n">
        <f aca="false">IF(G102=0,0,(G103-G102)/G102*100)</f>
        <v>3.52</v>
      </c>
      <c r="O103" s="5" t="n">
        <f aca="false">IF(I103=0,0,B103/I103*100)</f>
        <v>70.0389105058366</v>
      </c>
      <c r="P103" s="3" t="str">
        <f aca="false">IF(A103&lt;1950,"Pre-plastic (1900-1949)",IF(A103&lt;1990,"Plastic boom (1950-1989)","Modern (1990-2026)"))</f>
        <v>Modern (1990-2026)</v>
      </c>
    </row>
    <row r="104" customFormat="false" ht="15" hidden="false" customHeight="false" outlineLevel="0" collapsed="false">
      <c r="A104" s="3" t="n">
        <v>2002</v>
      </c>
      <c r="B104" s="3" t="n">
        <v>5.7</v>
      </c>
      <c r="C104" s="3" t="n">
        <v>0.48</v>
      </c>
      <c r="D104" s="3" t="n">
        <v>1.9</v>
      </c>
      <c r="E104" s="3" t="n">
        <v>1.3</v>
      </c>
      <c r="F104" s="3" t="n">
        <v>0.4</v>
      </c>
      <c r="G104" s="3" t="n">
        <v>6.78</v>
      </c>
      <c r="H104" s="3" t="n">
        <v>24</v>
      </c>
      <c r="I104" s="4" t="n">
        <f aca="false">B104+C104+D104</f>
        <v>8.08</v>
      </c>
      <c r="J104" s="4" t="n">
        <f aca="false">I104-E104</f>
        <v>6.78</v>
      </c>
      <c r="K104" s="4" t="n">
        <f aca="false">G104-J104</f>
        <v>0</v>
      </c>
      <c r="L104" s="5" t="n">
        <f aca="false">IF(I104=0,0,E104/I104*100)</f>
        <v>16.0891089108911</v>
      </c>
      <c r="M104" s="5" t="n">
        <f aca="false">IF(E104=0,0,F104/E104*100)</f>
        <v>30.7692307692308</v>
      </c>
      <c r="N104" s="5" t="n">
        <f aca="false">IF(G103=0,0,(G104-G103)/G103*100)</f>
        <v>4.79134466769707</v>
      </c>
      <c r="O104" s="5" t="n">
        <f aca="false">IF(I104=0,0,B104/I104*100)</f>
        <v>70.5445544554455</v>
      </c>
      <c r="P104" s="3" t="str">
        <f aca="false">IF(A104&lt;1950,"Pre-plastic (1900-1949)",IF(A104&lt;1990,"Plastic boom (1950-1989)","Modern (1990-2026)"))</f>
        <v>Modern (1990-2026)</v>
      </c>
    </row>
    <row r="105" customFormat="false" ht="15" hidden="false" customHeight="false" outlineLevel="0" collapsed="false">
      <c r="A105" s="3" t="n">
        <v>2003</v>
      </c>
      <c r="B105" s="3" t="n">
        <v>5.9</v>
      </c>
      <c r="C105" s="3" t="n">
        <v>0.5</v>
      </c>
      <c r="D105" s="3" t="n">
        <v>1.95</v>
      </c>
      <c r="E105" s="3" t="n">
        <v>1.36</v>
      </c>
      <c r="F105" s="3" t="n">
        <v>0.43</v>
      </c>
      <c r="G105" s="3" t="n">
        <v>7</v>
      </c>
      <c r="H105" s="3" t="n">
        <v>24</v>
      </c>
      <c r="I105" s="4" t="n">
        <f aca="false">B105+C105+D105</f>
        <v>8.35</v>
      </c>
      <c r="J105" s="4" t="n">
        <f aca="false">I105-E105</f>
        <v>6.99</v>
      </c>
      <c r="K105" s="4" t="n">
        <f aca="false">G105-J105</f>
        <v>0.0100000000000007</v>
      </c>
      <c r="L105" s="5" t="n">
        <f aca="false">IF(I105=0,0,E105/I105*100)</f>
        <v>16.2874251497006</v>
      </c>
      <c r="M105" s="5" t="n">
        <f aca="false">IF(E105=0,0,F105/E105*100)</f>
        <v>31.6176470588235</v>
      </c>
      <c r="N105" s="5" t="n">
        <f aca="false">IF(G104=0,0,(G105-G104)/G104*100)</f>
        <v>3.24483775811209</v>
      </c>
      <c r="O105" s="5" t="n">
        <f aca="false">IF(I105=0,0,B105/I105*100)</f>
        <v>70.6586826347305</v>
      </c>
      <c r="P105" s="3" t="str">
        <f aca="false">IF(A105&lt;1950,"Pre-plastic (1900-1949)",IF(A105&lt;1990,"Plastic boom (1950-1989)","Modern (1990-2026)"))</f>
        <v>Modern (1990-2026)</v>
      </c>
    </row>
    <row r="106" customFormat="false" ht="15" hidden="false" customHeight="false" outlineLevel="0" collapsed="false">
      <c r="A106" s="3" t="n">
        <v>2004</v>
      </c>
      <c r="B106" s="3" t="n">
        <v>6.2</v>
      </c>
      <c r="C106" s="3" t="n">
        <v>0.52</v>
      </c>
      <c r="D106" s="3" t="n">
        <v>2</v>
      </c>
      <c r="E106" s="3" t="n">
        <v>1.42</v>
      </c>
      <c r="F106" s="3" t="n">
        <v>0.46</v>
      </c>
      <c r="G106" s="3" t="n">
        <v>7.28</v>
      </c>
      <c r="H106" s="3" t="n">
        <v>25</v>
      </c>
      <c r="I106" s="4" t="n">
        <f aca="false">B106+C106+D106</f>
        <v>8.72</v>
      </c>
      <c r="J106" s="4" t="n">
        <f aca="false">I106-E106</f>
        <v>7.3</v>
      </c>
      <c r="K106" s="4" t="n">
        <f aca="false">G106-J106</f>
        <v>-0.0200000000000005</v>
      </c>
      <c r="L106" s="5" t="n">
        <f aca="false">IF(I106=0,0,E106/I106*100)</f>
        <v>16.2844036697248</v>
      </c>
      <c r="M106" s="5" t="n">
        <f aca="false">IF(E106=0,0,F106/E106*100)</f>
        <v>32.3943661971831</v>
      </c>
      <c r="N106" s="5" t="n">
        <f aca="false">IF(G105=0,0,(G106-G105)/G105*100)</f>
        <v>4</v>
      </c>
      <c r="O106" s="5" t="n">
        <f aca="false">IF(I106=0,0,B106/I106*100)</f>
        <v>71.1009174311927</v>
      </c>
      <c r="P106" s="3" t="str">
        <f aca="false">IF(A106&lt;1950,"Pre-plastic (1900-1949)",IF(A106&lt;1990,"Plastic boom (1950-1989)","Modern (1990-2026)"))</f>
        <v>Modern (1990-2026)</v>
      </c>
    </row>
    <row r="107" customFormat="false" ht="15" hidden="false" customHeight="false" outlineLevel="0" collapsed="false">
      <c r="A107" s="3" t="n">
        <v>2005</v>
      </c>
      <c r="B107" s="3" t="n">
        <v>6.5</v>
      </c>
      <c r="C107" s="3" t="n">
        <v>0.55</v>
      </c>
      <c r="D107" s="3" t="n">
        <v>2.05</v>
      </c>
      <c r="E107" s="3" t="n">
        <v>1.48</v>
      </c>
      <c r="F107" s="3" t="n">
        <v>0.5</v>
      </c>
      <c r="G107" s="3" t="n">
        <v>7.62</v>
      </c>
      <c r="H107" s="3" t="n">
        <v>26</v>
      </c>
      <c r="I107" s="4" t="n">
        <f aca="false">B107+C107+D107</f>
        <v>9.1</v>
      </c>
      <c r="J107" s="4" t="n">
        <f aca="false">I107-E107</f>
        <v>7.62</v>
      </c>
      <c r="K107" s="4" t="n">
        <f aca="false">G107-J107</f>
        <v>0</v>
      </c>
      <c r="L107" s="5" t="n">
        <f aca="false">IF(I107=0,0,E107/I107*100)</f>
        <v>16.2637362637363</v>
      </c>
      <c r="M107" s="5" t="n">
        <f aca="false">IF(E107=0,0,F107/E107*100)</f>
        <v>33.7837837837838</v>
      </c>
      <c r="N107" s="5" t="n">
        <f aca="false">IF(G106=0,0,(G107-G106)/G106*100)</f>
        <v>4.67032967032967</v>
      </c>
      <c r="O107" s="5" t="n">
        <f aca="false">IF(I107=0,0,B107/I107*100)</f>
        <v>71.4285714285714</v>
      </c>
      <c r="P107" s="3" t="str">
        <f aca="false">IF(A107&lt;1950,"Pre-plastic (1900-1949)",IF(A107&lt;1990,"Plastic boom (1950-1989)","Modern (1990-2026)"))</f>
        <v>Modern (1990-2026)</v>
      </c>
    </row>
    <row r="108" customFormat="false" ht="15" hidden="false" customHeight="false" outlineLevel="0" collapsed="false">
      <c r="A108" s="3" t="n">
        <v>2006</v>
      </c>
      <c r="B108" s="3" t="n">
        <v>6.8</v>
      </c>
      <c r="C108" s="3" t="n">
        <v>0.58</v>
      </c>
      <c r="D108" s="3" t="n">
        <v>2.1</v>
      </c>
      <c r="E108" s="3" t="n">
        <v>1.55</v>
      </c>
      <c r="F108" s="3" t="n">
        <v>0.53</v>
      </c>
      <c r="G108" s="3" t="n">
        <v>7.93</v>
      </c>
      <c r="H108" s="3" t="n">
        <v>27</v>
      </c>
      <c r="I108" s="4" t="n">
        <f aca="false">B108+C108+D108</f>
        <v>9.48</v>
      </c>
      <c r="J108" s="4" t="n">
        <f aca="false">I108-E108</f>
        <v>7.93</v>
      </c>
      <c r="K108" s="4" t="n">
        <f aca="false">G108-J108</f>
        <v>0</v>
      </c>
      <c r="L108" s="5" t="n">
        <f aca="false">IF(I108=0,0,E108/I108*100)</f>
        <v>16.3502109704641</v>
      </c>
      <c r="M108" s="5" t="n">
        <f aca="false">IF(E108=0,0,F108/E108*100)</f>
        <v>34.1935483870968</v>
      </c>
      <c r="N108" s="5" t="n">
        <f aca="false">IF(G107=0,0,(G108-G107)/G107*100)</f>
        <v>4.06824146981627</v>
      </c>
      <c r="O108" s="5" t="n">
        <f aca="false">IF(I108=0,0,B108/I108*100)</f>
        <v>71.7299578059072</v>
      </c>
      <c r="P108" s="3" t="str">
        <f aca="false">IF(A108&lt;1950,"Pre-plastic (1900-1949)",IF(A108&lt;1990,"Plastic boom (1950-1989)","Modern (1990-2026)"))</f>
        <v>Modern (1990-2026)</v>
      </c>
    </row>
    <row r="109" customFormat="false" ht="15" hidden="false" customHeight="false" outlineLevel="0" collapsed="false">
      <c r="A109" s="3" t="n">
        <v>2007</v>
      </c>
      <c r="B109" s="3" t="n">
        <v>7.1</v>
      </c>
      <c r="C109" s="3" t="n">
        <v>0.6</v>
      </c>
      <c r="D109" s="3" t="n">
        <v>2.15</v>
      </c>
      <c r="E109" s="3" t="n">
        <v>1.62</v>
      </c>
      <c r="F109" s="3" t="n">
        <v>0.57</v>
      </c>
      <c r="G109" s="3" t="n">
        <v>8.23</v>
      </c>
      <c r="H109" s="3" t="n">
        <v>28</v>
      </c>
      <c r="I109" s="4" t="n">
        <f aca="false">B109+C109+D109</f>
        <v>9.85</v>
      </c>
      <c r="J109" s="4" t="n">
        <f aca="false">I109-E109</f>
        <v>8.23</v>
      </c>
      <c r="K109" s="4" t="n">
        <f aca="false">G109-J109</f>
        <v>0</v>
      </c>
      <c r="L109" s="5" t="n">
        <f aca="false">IF(I109=0,0,E109/I109*100)</f>
        <v>16.4467005076142</v>
      </c>
      <c r="M109" s="5" t="n">
        <f aca="false">IF(E109=0,0,F109/E109*100)</f>
        <v>35.1851851851852</v>
      </c>
      <c r="N109" s="5" t="n">
        <f aca="false">IF(G108=0,0,(G109-G108)/G108*100)</f>
        <v>3.78310214375789</v>
      </c>
      <c r="O109" s="5" t="n">
        <f aca="false">IF(I109=0,0,B109/I109*100)</f>
        <v>72.0812182741117</v>
      </c>
      <c r="P109" s="3" t="str">
        <f aca="false">IF(A109&lt;1950,"Pre-plastic (1900-1949)",IF(A109&lt;1990,"Plastic boom (1950-1989)","Modern (1990-2026)"))</f>
        <v>Modern (1990-2026)</v>
      </c>
    </row>
    <row r="110" customFormat="false" ht="15" hidden="false" customHeight="false" outlineLevel="0" collapsed="false">
      <c r="A110" s="3" t="n">
        <v>2008</v>
      </c>
      <c r="B110" s="3" t="n">
        <v>7.5</v>
      </c>
      <c r="C110" s="3" t="n">
        <v>0.63</v>
      </c>
      <c r="D110" s="3" t="n">
        <v>2.2</v>
      </c>
      <c r="E110" s="3" t="n">
        <v>1.7</v>
      </c>
      <c r="F110" s="3" t="n">
        <v>0.61</v>
      </c>
      <c r="G110" s="3" t="n">
        <v>8.63</v>
      </c>
      <c r="H110" s="3" t="n">
        <v>28</v>
      </c>
      <c r="I110" s="4" t="n">
        <f aca="false">B110+C110+D110</f>
        <v>10.33</v>
      </c>
      <c r="J110" s="4" t="n">
        <f aca="false">I110-E110</f>
        <v>8.63</v>
      </c>
      <c r="K110" s="4" t="n">
        <f aca="false">G110-J110</f>
        <v>0</v>
      </c>
      <c r="L110" s="5" t="n">
        <f aca="false">IF(I110=0,0,E110/I110*100)</f>
        <v>16.4569215876089</v>
      </c>
      <c r="M110" s="5" t="n">
        <f aca="false">IF(E110=0,0,F110/E110*100)</f>
        <v>35.8823529411765</v>
      </c>
      <c r="N110" s="5" t="n">
        <f aca="false">IF(G109=0,0,(G110-G109)/G109*100)</f>
        <v>4.86026731470231</v>
      </c>
      <c r="O110" s="5" t="n">
        <f aca="false">IF(I110=0,0,B110/I110*100)</f>
        <v>72.6040658276863</v>
      </c>
      <c r="P110" s="3" t="str">
        <f aca="false">IF(A110&lt;1950,"Pre-plastic (1900-1949)",IF(A110&lt;1990,"Plastic boom (1950-1989)","Modern (1990-2026)"))</f>
        <v>Modern (1990-2026)</v>
      </c>
    </row>
    <row r="111" customFormat="false" ht="15" hidden="false" customHeight="false" outlineLevel="0" collapsed="false">
      <c r="A111" s="3" t="n">
        <v>2009</v>
      </c>
      <c r="B111" s="3" t="n">
        <v>7.8</v>
      </c>
      <c r="C111" s="3" t="n">
        <v>0.65</v>
      </c>
      <c r="D111" s="3" t="n">
        <v>2.25</v>
      </c>
      <c r="E111" s="3" t="n">
        <v>1.78</v>
      </c>
      <c r="F111" s="3" t="n">
        <v>0.65</v>
      </c>
      <c r="G111" s="3" t="n">
        <v>8.92</v>
      </c>
      <c r="H111" s="3" t="n">
        <v>29</v>
      </c>
      <c r="I111" s="4" t="n">
        <f aca="false">B111+C111+D111</f>
        <v>10.7</v>
      </c>
      <c r="J111" s="4" t="n">
        <f aca="false">I111-E111</f>
        <v>8.92</v>
      </c>
      <c r="K111" s="4" t="n">
        <f aca="false">G111-J111</f>
        <v>0</v>
      </c>
      <c r="L111" s="5" t="n">
        <f aca="false">IF(I111=0,0,E111/I111*100)</f>
        <v>16.6355140186916</v>
      </c>
      <c r="M111" s="5" t="n">
        <f aca="false">IF(E111=0,0,F111/E111*100)</f>
        <v>36.5168539325843</v>
      </c>
      <c r="N111" s="5" t="n">
        <f aca="false">IF(G110=0,0,(G111-G110)/G110*100)</f>
        <v>3.36037079953649</v>
      </c>
      <c r="O111" s="5" t="n">
        <f aca="false">IF(I111=0,0,B111/I111*100)</f>
        <v>72.8971962616823</v>
      </c>
      <c r="P111" s="3" t="str">
        <f aca="false">IF(A111&lt;1950,"Pre-plastic (1900-1949)",IF(A111&lt;1990,"Plastic boom (1950-1989)","Modern (1990-2026)"))</f>
        <v>Modern (1990-2026)</v>
      </c>
    </row>
    <row r="112" customFormat="false" ht="15" hidden="false" customHeight="false" outlineLevel="0" collapsed="false">
      <c r="A112" s="3" t="n">
        <v>2010</v>
      </c>
      <c r="B112" s="3" t="n">
        <v>8.2</v>
      </c>
      <c r="C112" s="3" t="n">
        <v>0.68</v>
      </c>
      <c r="D112" s="3" t="n">
        <v>2.3</v>
      </c>
      <c r="E112" s="3" t="n">
        <v>1.86</v>
      </c>
      <c r="F112" s="3" t="n">
        <v>0.69</v>
      </c>
      <c r="G112" s="3" t="n">
        <v>9.32</v>
      </c>
      <c r="H112" s="3" t="n">
        <v>30</v>
      </c>
      <c r="I112" s="4" t="n">
        <f aca="false">B112+C112+D112</f>
        <v>11.18</v>
      </c>
      <c r="J112" s="4" t="n">
        <f aca="false">I112-E112</f>
        <v>9.32</v>
      </c>
      <c r="K112" s="4" t="n">
        <f aca="false">G112-J112</f>
        <v>0</v>
      </c>
      <c r="L112" s="5" t="n">
        <f aca="false">IF(I112=0,0,E112/I112*100)</f>
        <v>16.6368515205725</v>
      </c>
      <c r="M112" s="5" t="n">
        <f aca="false">IF(E112=0,0,F112/E112*100)</f>
        <v>37.0967741935484</v>
      </c>
      <c r="N112" s="5" t="n">
        <f aca="false">IF(G111=0,0,(G112-G111)/G111*100)</f>
        <v>4.48430493273543</v>
      </c>
      <c r="O112" s="5" t="n">
        <f aca="false">IF(I112=0,0,B112/I112*100)</f>
        <v>73.345259391771</v>
      </c>
      <c r="P112" s="3" t="str">
        <f aca="false">IF(A112&lt;1950,"Pre-plastic (1900-1949)",IF(A112&lt;1990,"Plastic boom (1950-1989)","Modern (1990-2026)"))</f>
        <v>Modern (1990-2026)</v>
      </c>
    </row>
    <row r="113" customFormat="false" ht="15" hidden="false" customHeight="false" outlineLevel="0" collapsed="false">
      <c r="A113" s="3" t="n">
        <v>2011</v>
      </c>
      <c r="B113" s="3" t="n">
        <v>8.6</v>
      </c>
      <c r="C113" s="3" t="n">
        <v>0.71</v>
      </c>
      <c r="D113" s="3" t="n">
        <v>2.35</v>
      </c>
      <c r="E113" s="3" t="n">
        <v>1.95</v>
      </c>
      <c r="F113" s="3" t="n">
        <v>0.73</v>
      </c>
      <c r="G113" s="3" t="n">
        <v>9.71</v>
      </c>
      <c r="H113" s="3" t="n">
        <v>30</v>
      </c>
      <c r="I113" s="4" t="n">
        <f aca="false">B113+C113+D113</f>
        <v>11.66</v>
      </c>
      <c r="J113" s="4" t="n">
        <f aca="false">I113-E113</f>
        <v>9.71</v>
      </c>
      <c r="K113" s="4" t="n">
        <f aca="false">G113-J113</f>
        <v>0</v>
      </c>
      <c r="L113" s="5" t="n">
        <f aca="false">IF(I113=0,0,E113/I113*100)</f>
        <v>16.7238421955403</v>
      </c>
      <c r="M113" s="5" t="n">
        <f aca="false">IF(E113=0,0,F113/E113*100)</f>
        <v>37.4358974358974</v>
      </c>
      <c r="N113" s="5" t="n">
        <f aca="false">IF(G112=0,0,(G113-G112)/G112*100)</f>
        <v>4.18454935622318</v>
      </c>
      <c r="O113" s="5" t="n">
        <f aca="false">IF(I113=0,0,B113/I113*100)</f>
        <v>73.7564322469983</v>
      </c>
      <c r="P113" s="3" t="str">
        <f aca="false">IF(A113&lt;1950,"Pre-plastic (1900-1949)",IF(A113&lt;1990,"Plastic boom (1950-1989)","Modern (1990-2026)"))</f>
        <v>Modern (1990-2026)</v>
      </c>
    </row>
    <row r="114" customFormat="false" ht="15" hidden="false" customHeight="false" outlineLevel="0" collapsed="false">
      <c r="A114" s="3" t="n">
        <v>2012</v>
      </c>
      <c r="B114" s="3" t="n">
        <v>9</v>
      </c>
      <c r="C114" s="3" t="n">
        <v>0.74</v>
      </c>
      <c r="D114" s="3" t="n">
        <v>2.4</v>
      </c>
      <c r="E114" s="3" t="n">
        <v>2.04</v>
      </c>
      <c r="F114" s="3" t="n">
        <v>0.78</v>
      </c>
      <c r="G114" s="3" t="n">
        <v>10.1</v>
      </c>
      <c r="H114" s="3" t="n">
        <v>31</v>
      </c>
      <c r="I114" s="4" t="n">
        <f aca="false">B114+C114+D114</f>
        <v>12.14</v>
      </c>
      <c r="J114" s="4" t="n">
        <f aca="false">I114-E114</f>
        <v>10.1</v>
      </c>
      <c r="K114" s="4" t="n">
        <f aca="false">G114-J114</f>
        <v>0</v>
      </c>
      <c r="L114" s="5" t="n">
        <f aca="false">IF(I114=0,0,E114/I114*100)</f>
        <v>16.8039538714992</v>
      </c>
      <c r="M114" s="5" t="n">
        <f aca="false">IF(E114=0,0,F114/E114*100)</f>
        <v>38.2352941176471</v>
      </c>
      <c r="N114" s="5" t="n">
        <f aca="false">IF(G113=0,0,(G114-G113)/G113*100)</f>
        <v>4.01647785787846</v>
      </c>
      <c r="O114" s="5" t="n">
        <f aca="false">IF(I114=0,0,B114/I114*100)</f>
        <v>74.1350906095552</v>
      </c>
      <c r="P114" s="3" t="str">
        <f aca="false">IF(A114&lt;1950,"Pre-plastic (1900-1949)",IF(A114&lt;1990,"Plastic boom (1950-1989)","Modern (1990-2026)"))</f>
        <v>Modern (1990-2026)</v>
      </c>
    </row>
    <row r="115" customFormat="false" ht="15" hidden="false" customHeight="false" outlineLevel="0" collapsed="false">
      <c r="A115" s="3" t="n">
        <v>2013</v>
      </c>
      <c r="B115" s="3" t="n">
        <v>9.4</v>
      </c>
      <c r="C115" s="3" t="n">
        <v>0.77</v>
      </c>
      <c r="D115" s="3" t="n">
        <v>2.45</v>
      </c>
      <c r="E115" s="3" t="n">
        <v>2.13</v>
      </c>
      <c r="F115" s="3" t="n">
        <v>0.83</v>
      </c>
      <c r="G115" s="3" t="n">
        <v>10.49</v>
      </c>
      <c r="H115" s="3" t="n">
        <v>32</v>
      </c>
      <c r="I115" s="4" t="n">
        <f aca="false">B115+C115+D115</f>
        <v>12.62</v>
      </c>
      <c r="J115" s="4" t="n">
        <f aca="false">I115-E115</f>
        <v>10.49</v>
      </c>
      <c r="K115" s="4" t="n">
        <f aca="false">G115-J115</f>
        <v>0</v>
      </c>
      <c r="L115" s="5" t="n">
        <f aca="false">IF(I115=0,0,E115/I115*100)</f>
        <v>16.877971473851</v>
      </c>
      <c r="M115" s="5" t="n">
        <f aca="false">IF(E115=0,0,F115/E115*100)</f>
        <v>38.9671361502347</v>
      </c>
      <c r="N115" s="5" t="n">
        <f aca="false">IF(G114=0,0,(G115-G114)/G114*100)</f>
        <v>3.86138613861387</v>
      </c>
      <c r="O115" s="5" t="n">
        <f aca="false">IF(I115=0,0,B115/I115*100)</f>
        <v>74.4849445324881</v>
      </c>
      <c r="P115" s="3" t="str">
        <f aca="false">IF(A115&lt;1950,"Pre-plastic (1900-1949)",IF(A115&lt;1990,"Plastic boom (1950-1989)","Modern (1990-2026)"))</f>
        <v>Modern (1990-2026)</v>
      </c>
    </row>
    <row r="116" customFormat="false" ht="15" hidden="false" customHeight="false" outlineLevel="0" collapsed="false">
      <c r="A116" s="3" t="n">
        <v>2014</v>
      </c>
      <c r="B116" s="3" t="n">
        <v>9.9</v>
      </c>
      <c r="C116" s="3" t="n">
        <v>0.8</v>
      </c>
      <c r="D116" s="3" t="n">
        <v>2.5</v>
      </c>
      <c r="E116" s="3" t="n">
        <v>2.23</v>
      </c>
      <c r="F116" s="3" t="n">
        <v>0.88</v>
      </c>
      <c r="G116" s="3" t="n">
        <v>10.97</v>
      </c>
      <c r="H116" s="3" t="n">
        <v>32</v>
      </c>
      <c r="I116" s="4" t="n">
        <f aca="false">B116+C116+D116</f>
        <v>13.2</v>
      </c>
      <c r="J116" s="4" t="n">
        <f aca="false">I116-E116</f>
        <v>10.97</v>
      </c>
      <c r="K116" s="4" t="n">
        <f aca="false">G116-J116</f>
        <v>0</v>
      </c>
      <c r="L116" s="5" t="n">
        <f aca="false">IF(I116=0,0,E116/I116*100)</f>
        <v>16.8939393939394</v>
      </c>
      <c r="M116" s="5" t="n">
        <f aca="false">IF(E116=0,0,F116/E116*100)</f>
        <v>39.4618834080718</v>
      </c>
      <c r="N116" s="5" t="n">
        <f aca="false">IF(G115=0,0,(G116-G115)/G115*100)</f>
        <v>4.57578646329838</v>
      </c>
      <c r="O116" s="5" t="n">
        <f aca="false">IF(I116=0,0,B116/I116*100)</f>
        <v>75</v>
      </c>
      <c r="P116" s="3" t="str">
        <f aca="false">IF(A116&lt;1950,"Pre-plastic (1900-1949)",IF(A116&lt;1990,"Plastic boom (1950-1989)","Modern (1990-2026)"))</f>
        <v>Modern (1990-2026)</v>
      </c>
    </row>
    <row r="117" customFormat="false" ht="15" hidden="false" customHeight="false" outlineLevel="0" collapsed="false">
      <c r="A117" s="3" t="n">
        <v>2015</v>
      </c>
      <c r="B117" s="3" t="n">
        <v>10.4</v>
      </c>
      <c r="C117" s="3" t="n">
        <v>0.82</v>
      </c>
      <c r="D117" s="3" t="n">
        <v>2.55</v>
      </c>
      <c r="E117" s="3" t="n">
        <v>2.33</v>
      </c>
      <c r="F117" s="3" t="n">
        <v>0.93</v>
      </c>
      <c r="G117" s="3" t="n">
        <v>11.44</v>
      </c>
      <c r="H117" s="3" t="n">
        <v>33</v>
      </c>
      <c r="I117" s="4" t="n">
        <f aca="false">B117+C117+D117</f>
        <v>13.77</v>
      </c>
      <c r="J117" s="4" t="n">
        <f aca="false">I117-E117</f>
        <v>11.44</v>
      </c>
      <c r="K117" s="4" t="n">
        <f aca="false">G117-J117</f>
        <v>0</v>
      </c>
      <c r="L117" s="5" t="n">
        <f aca="false">IF(I117=0,0,E117/I117*100)</f>
        <v>16.9208424110385</v>
      </c>
      <c r="M117" s="5" t="n">
        <f aca="false">IF(E117=0,0,F117/E117*100)</f>
        <v>39.9141630901288</v>
      </c>
      <c r="N117" s="5" t="n">
        <f aca="false">IF(G116=0,0,(G117-G116)/G116*100)</f>
        <v>4.28441203281676</v>
      </c>
      <c r="O117" s="5" t="n">
        <f aca="false">IF(I117=0,0,B117/I117*100)</f>
        <v>75.5265068990559</v>
      </c>
      <c r="P117" s="3" t="str">
        <f aca="false">IF(A117&lt;1950,"Pre-plastic (1900-1949)",IF(A117&lt;1990,"Plastic boom (1950-1989)","Modern (1990-2026)"))</f>
        <v>Modern (1990-2026)</v>
      </c>
    </row>
    <row r="118" customFormat="false" ht="15" hidden="false" customHeight="false" outlineLevel="0" collapsed="false">
      <c r="A118" s="3" t="n">
        <v>2016</v>
      </c>
      <c r="B118" s="3" t="n">
        <v>10.9</v>
      </c>
      <c r="C118" s="3" t="n">
        <v>0.85</v>
      </c>
      <c r="D118" s="3" t="n">
        <v>2.6</v>
      </c>
      <c r="E118" s="3" t="n">
        <v>2.44</v>
      </c>
      <c r="F118" s="3" t="n">
        <v>0.98</v>
      </c>
      <c r="G118" s="3" t="n">
        <v>11.91</v>
      </c>
      <c r="H118" s="3" t="n">
        <v>33</v>
      </c>
      <c r="I118" s="4" t="n">
        <f aca="false">B118+C118+D118</f>
        <v>14.35</v>
      </c>
      <c r="J118" s="4" t="n">
        <f aca="false">I118-E118</f>
        <v>11.91</v>
      </c>
      <c r="K118" s="4" t="n">
        <f aca="false">G118-J118</f>
        <v>0</v>
      </c>
      <c r="L118" s="5" t="n">
        <f aca="false">IF(I118=0,0,E118/I118*100)</f>
        <v>17.0034843205575</v>
      </c>
      <c r="M118" s="5" t="n">
        <f aca="false">IF(E118=0,0,F118/E118*100)</f>
        <v>40.1639344262295</v>
      </c>
      <c r="N118" s="5" t="n">
        <f aca="false">IF(G117=0,0,(G118-G117)/G117*100)</f>
        <v>4.10839160839161</v>
      </c>
      <c r="O118" s="5" t="n">
        <f aca="false">IF(I118=0,0,B118/I118*100)</f>
        <v>75.9581881533101</v>
      </c>
      <c r="P118" s="3" t="str">
        <f aca="false">IF(A118&lt;1950,"Pre-plastic (1900-1949)",IF(A118&lt;1990,"Plastic boom (1950-1989)","Modern (1990-2026)"))</f>
        <v>Modern (1990-2026)</v>
      </c>
    </row>
    <row r="119" customFormat="false" ht="15" hidden="false" customHeight="false" outlineLevel="0" collapsed="false">
      <c r="A119" s="3" t="n">
        <v>2017</v>
      </c>
      <c r="B119" s="3" t="n">
        <v>11.4</v>
      </c>
      <c r="C119" s="3" t="n">
        <v>0.88</v>
      </c>
      <c r="D119" s="3" t="n">
        <v>2.65</v>
      </c>
      <c r="E119" s="3" t="n">
        <v>2.55</v>
      </c>
      <c r="F119" s="3" t="n">
        <v>1.03</v>
      </c>
      <c r="G119" s="3" t="n">
        <v>12.38</v>
      </c>
      <c r="H119" s="3" t="n">
        <v>34</v>
      </c>
      <c r="I119" s="4" t="n">
        <f aca="false">B119+C119+D119</f>
        <v>14.93</v>
      </c>
      <c r="J119" s="4" t="n">
        <f aca="false">I119-E119</f>
        <v>12.38</v>
      </c>
      <c r="K119" s="4" t="n">
        <f aca="false">G119-J119</f>
        <v>0</v>
      </c>
      <c r="L119" s="5" t="n">
        <f aca="false">IF(I119=0,0,E119/I119*100)</f>
        <v>17.0797052913597</v>
      </c>
      <c r="M119" s="5" t="n">
        <f aca="false">IF(E119=0,0,F119/E119*100)</f>
        <v>40.3921568627451</v>
      </c>
      <c r="N119" s="5" t="n">
        <f aca="false">IF(G118=0,0,(G119-G118)/G118*100)</f>
        <v>3.94626364399665</v>
      </c>
      <c r="O119" s="5" t="n">
        <f aca="false">IF(I119=0,0,B119/I119*100)</f>
        <v>76.3563295378433</v>
      </c>
      <c r="P119" s="3" t="str">
        <f aca="false">IF(A119&lt;1950,"Pre-plastic (1900-1949)",IF(A119&lt;1990,"Plastic boom (1950-1989)","Modern (1990-2026)"))</f>
        <v>Modern (1990-2026)</v>
      </c>
    </row>
    <row r="120" customFormat="false" ht="15" hidden="false" customHeight="false" outlineLevel="0" collapsed="false">
      <c r="A120" s="3" t="n">
        <v>2018</v>
      </c>
      <c r="B120" s="3" t="n">
        <v>11.9</v>
      </c>
      <c r="C120" s="3" t="n">
        <v>0.9</v>
      </c>
      <c r="D120" s="3" t="n">
        <v>2.7</v>
      </c>
      <c r="E120" s="3" t="n">
        <v>2.66</v>
      </c>
      <c r="F120" s="3" t="n">
        <v>1.08</v>
      </c>
      <c r="G120" s="3" t="n">
        <v>12.84</v>
      </c>
      <c r="H120" s="3" t="n">
        <v>34</v>
      </c>
      <c r="I120" s="4" t="n">
        <f aca="false">B120+C120+D120</f>
        <v>15.5</v>
      </c>
      <c r="J120" s="4" t="n">
        <f aca="false">I120-E120</f>
        <v>12.84</v>
      </c>
      <c r="K120" s="4" t="n">
        <f aca="false">G120-J120</f>
        <v>0</v>
      </c>
      <c r="L120" s="5" t="n">
        <f aca="false">IF(I120=0,0,E120/I120*100)</f>
        <v>17.1612903225806</v>
      </c>
      <c r="M120" s="5" t="n">
        <f aca="false">IF(E120=0,0,F120/E120*100)</f>
        <v>40.6015037593985</v>
      </c>
      <c r="N120" s="5" t="n">
        <f aca="false">IF(G119=0,0,(G120-G119)/G119*100)</f>
        <v>3.71567043618739</v>
      </c>
      <c r="O120" s="5" t="n">
        <f aca="false">IF(I120=0,0,B120/I120*100)</f>
        <v>76.7741935483871</v>
      </c>
      <c r="P120" s="3" t="str">
        <f aca="false">IF(A120&lt;1950,"Pre-plastic (1900-1949)",IF(A120&lt;1990,"Plastic boom (1950-1989)","Modern (1990-2026)"))</f>
        <v>Modern (1990-2026)</v>
      </c>
    </row>
    <row r="121" customFormat="false" ht="15" hidden="false" customHeight="false" outlineLevel="0" collapsed="false">
      <c r="A121" s="3" t="n">
        <v>2019</v>
      </c>
      <c r="B121" s="3" t="n">
        <v>12.4</v>
      </c>
      <c r="C121" s="3" t="n">
        <v>0.93</v>
      </c>
      <c r="D121" s="3" t="n">
        <v>2.75</v>
      </c>
      <c r="E121" s="3" t="n">
        <v>2.78</v>
      </c>
      <c r="F121" s="3" t="n">
        <v>1.13</v>
      </c>
      <c r="G121" s="3" t="n">
        <v>13.3</v>
      </c>
      <c r="H121" s="3" t="n">
        <v>35</v>
      </c>
      <c r="I121" s="4" t="n">
        <f aca="false">B121+C121+D121</f>
        <v>16.08</v>
      </c>
      <c r="J121" s="4" t="n">
        <f aca="false">I121-E121</f>
        <v>13.3</v>
      </c>
      <c r="K121" s="4" t="n">
        <f aca="false">G121-J121</f>
        <v>0</v>
      </c>
      <c r="L121" s="5" t="n">
        <f aca="false">IF(I121=0,0,E121/I121*100)</f>
        <v>17.2885572139304</v>
      </c>
      <c r="M121" s="5" t="n">
        <f aca="false">IF(E121=0,0,F121/E121*100)</f>
        <v>40.6474820143885</v>
      </c>
      <c r="N121" s="5" t="n">
        <f aca="false">IF(G120=0,0,(G121-G120)/G120*100)</f>
        <v>3.58255451713396</v>
      </c>
      <c r="O121" s="5" t="n">
        <f aca="false">IF(I121=0,0,B121/I121*100)</f>
        <v>77.1144278606965</v>
      </c>
      <c r="P121" s="3" t="str">
        <f aca="false">IF(A121&lt;1950,"Pre-plastic (1900-1949)",IF(A121&lt;1990,"Plastic boom (1950-1989)","Modern (1990-2026)"))</f>
        <v>Modern (1990-2026)</v>
      </c>
    </row>
    <row r="122" customFormat="false" ht="15" hidden="false" customHeight="false" outlineLevel="0" collapsed="false">
      <c r="A122" s="3" t="n">
        <v>2020</v>
      </c>
      <c r="B122" s="3" t="n">
        <v>12.9</v>
      </c>
      <c r="C122" s="3" t="n">
        <v>0.95</v>
      </c>
      <c r="D122" s="3" t="n">
        <v>2.8</v>
      </c>
      <c r="E122" s="3" t="n">
        <v>2.9</v>
      </c>
      <c r="F122" s="3" t="n">
        <v>1.18</v>
      </c>
      <c r="G122" s="3" t="n">
        <v>13.75</v>
      </c>
      <c r="H122" s="3" t="n">
        <v>35</v>
      </c>
      <c r="I122" s="4" t="n">
        <f aca="false">B122+C122+D122</f>
        <v>16.65</v>
      </c>
      <c r="J122" s="4" t="n">
        <f aca="false">I122-E122</f>
        <v>13.75</v>
      </c>
      <c r="K122" s="4" t="n">
        <f aca="false">G122-J122</f>
        <v>0</v>
      </c>
      <c r="L122" s="5" t="n">
        <f aca="false">IF(I122=0,0,E122/I122*100)</f>
        <v>17.4174174174174</v>
      </c>
      <c r="M122" s="5" t="n">
        <f aca="false">IF(E122=0,0,F122/E122*100)</f>
        <v>40.6896551724138</v>
      </c>
      <c r="N122" s="5" t="n">
        <f aca="false">IF(G121=0,0,(G122-G121)/G121*100)</f>
        <v>3.38345864661654</v>
      </c>
      <c r="O122" s="5" t="n">
        <f aca="false">IF(I122=0,0,B122/I122*100)</f>
        <v>77.4774774774775</v>
      </c>
      <c r="P122" s="3" t="str">
        <f aca="false">IF(A122&lt;1950,"Pre-plastic (1900-1949)",IF(A122&lt;1990,"Plastic boom (1950-1989)","Modern (1990-2026)"))</f>
        <v>Modern (1990-2026)</v>
      </c>
    </row>
    <row r="123" customFormat="false" ht="15" hidden="false" customHeight="false" outlineLevel="0" collapsed="false">
      <c r="A123" s="3" t="n">
        <v>2021</v>
      </c>
      <c r="B123" s="3" t="n">
        <v>13.4</v>
      </c>
      <c r="C123" s="3" t="n">
        <v>0.98</v>
      </c>
      <c r="D123" s="3" t="n">
        <v>2.85</v>
      </c>
      <c r="E123" s="3" t="n">
        <v>3.02</v>
      </c>
      <c r="F123" s="3" t="n">
        <v>1.23</v>
      </c>
      <c r="G123" s="3" t="n">
        <v>14.21</v>
      </c>
      <c r="H123" s="3" t="n">
        <v>36</v>
      </c>
      <c r="I123" s="4" t="n">
        <f aca="false">B123+C123+D123</f>
        <v>17.23</v>
      </c>
      <c r="J123" s="4" t="n">
        <f aca="false">I123-E123</f>
        <v>14.21</v>
      </c>
      <c r="K123" s="4" t="n">
        <f aca="false">G123-J123</f>
        <v>0</v>
      </c>
      <c r="L123" s="5" t="n">
        <f aca="false">IF(I123=0,0,E123/I123*100)</f>
        <v>17.5275681950087</v>
      </c>
      <c r="M123" s="5" t="n">
        <f aca="false">IF(E123=0,0,F123/E123*100)</f>
        <v>40.7284768211921</v>
      </c>
      <c r="N123" s="5" t="n">
        <f aca="false">IF(G122=0,0,(G123-G122)/G122*100)</f>
        <v>3.34545454545455</v>
      </c>
      <c r="O123" s="5" t="n">
        <f aca="false">IF(I123=0,0,B123/I123*100)</f>
        <v>77.7713290771909</v>
      </c>
      <c r="P123" s="3" t="str">
        <f aca="false">IF(A123&lt;1950,"Pre-plastic (1900-1949)",IF(A123&lt;1990,"Plastic boom (1950-1989)","Modern (1990-2026)"))</f>
        <v>Modern (1990-2026)</v>
      </c>
    </row>
    <row r="124" customFormat="false" ht="15" hidden="false" customHeight="false" outlineLevel="0" collapsed="false">
      <c r="A124" s="3" t="n">
        <v>2022</v>
      </c>
      <c r="B124" s="3" t="n">
        <v>14</v>
      </c>
      <c r="C124" s="3" t="n">
        <v>1</v>
      </c>
      <c r="D124" s="3" t="n">
        <v>2.9</v>
      </c>
      <c r="E124" s="3" t="n">
        <v>3.03</v>
      </c>
      <c r="F124" s="3" t="n">
        <v>1.22</v>
      </c>
      <c r="G124" s="3" t="n">
        <v>15.9</v>
      </c>
      <c r="H124" s="3" t="n">
        <v>36</v>
      </c>
      <c r="I124" s="4" t="n">
        <f aca="false">B124+C124+D124</f>
        <v>17.9</v>
      </c>
      <c r="J124" s="4" t="n">
        <f aca="false">I124-E124</f>
        <v>14.87</v>
      </c>
      <c r="K124" s="4" t="n">
        <f aca="false">G124-J124</f>
        <v>1.03</v>
      </c>
      <c r="L124" s="5" t="n">
        <f aca="false">IF(I124=0,0,E124/I124*100)</f>
        <v>16.927374301676</v>
      </c>
      <c r="M124" s="5" t="n">
        <f aca="false">IF(E124=0,0,F124/E124*100)</f>
        <v>40.2640264026403</v>
      </c>
      <c r="N124" s="5" t="n">
        <f aca="false">IF(G123=0,0,(G124-G123)/G123*100)</f>
        <v>11.8930330752991</v>
      </c>
      <c r="O124" s="5" t="n">
        <f aca="false">IF(I124=0,0,B124/I124*100)</f>
        <v>78.2122905027933</v>
      </c>
      <c r="P124" s="3" t="str">
        <f aca="false">IF(A124&lt;1950,"Pre-plastic (1900-1949)",IF(A124&lt;1990,"Plastic boom (1950-1989)","Modern (1990-2026)"))</f>
        <v>Modern (1990-2026)</v>
      </c>
    </row>
    <row r="125" customFormat="false" ht="15" hidden="false" customHeight="false" outlineLevel="0" collapsed="false">
      <c r="A125" s="3" t="n">
        <v>2023</v>
      </c>
      <c r="B125" s="3" t="n">
        <v>14.5</v>
      </c>
      <c r="C125" s="3" t="n">
        <v>1.03</v>
      </c>
      <c r="D125" s="3" t="n">
        <v>2.95</v>
      </c>
      <c r="E125" s="3" t="n">
        <v>3.15</v>
      </c>
      <c r="F125" s="3" t="n">
        <v>1.28</v>
      </c>
      <c r="G125" s="3" t="n">
        <v>16.48</v>
      </c>
      <c r="H125" s="3" t="n">
        <v>37</v>
      </c>
      <c r="I125" s="4" t="n">
        <f aca="false">B125+C125+D125</f>
        <v>18.48</v>
      </c>
      <c r="J125" s="4" t="n">
        <f aca="false">I125-E125</f>
        <v>15.33</v>
      </c>
      <c r="K125" s="4" t="n">
        <f aca="false">G125-J125</f>
        <v>1.15</v>
      </c>
      <c r="L125" s="5" t="n">
        <f aca="false">IF(I125=0,0,E125/I125*100)</f>
        <v>17.0454545454545</v>
      </c>
      <c r="M125" s="5" t="n">
        <f aca="false">IF(E125=0,0,F125/E125*100)</f>
        <v>40.6349206349206</v>
      </c>
      <c r="N125" s="5" t="n">
        <f aca="false">IF(G124=0,0,(G125-G124)/G124*100)</f>
        <v>3.64779874213837</v>
      </c>
      <c r="O125" s="5" t="n">
        <f aca="false">IF(I125=0,0,B125/I125*100)</f>
        <v>78.4632034632035</v>
      </c>
      <c r="P125" s="3" t="str">
        <f aca="false">IF(A125&lt;1950,"Pre-plastic (1900-1949)",IF(A125&lt;1990,"Plastic boom (1950-1989)","Modern (1990-2026)"))</f>
        <v>Modern (1990-2026)</v>
      </c>
    </row>
    <row r="126" customFormat="false" ht="15" hidden="false" customHeight="false" outlineLevel="0" collapsed="false">
      <c r="A126" s="3" t="n">
        <v>2024</v>
      </c>
      <c r="B126" s="3" t="n">
        <v>15</v>
      </c>
      <c r="C126" s="3" t="n">
        <v>1.06</v>
      </c>
      <c r="D126" s="3" t="n">
        <v>3</v>
      </c>
      <c r="E126" s="3" t="n">
        <v>3.28</v>
      </c>
      <c r="F126" s="3" t="n">
        <v>1.34</v>
      </c>
      <c r="G126" s="3" t="n">
        <v>17.06</v>
      </c>
      <c r="H126" s="3" t="n">
        <v>38</v>
      </c>
      <c r="I126" s="4" t="n">
        <f aca="false">B126+C126+D126</f>
        <v>19.06</v>
      </c>
      <c r="J126" s="4" t="n">
        <f aca="false">I126-E126</f>
        <v>15.78</v>
      </c>
      <c r="K126" s="4" t="n">
        <f aca="false">G126-J126</f>
        <v>1.28</v>
      </c>
      <c r="L126" s="5" t="n">
        <f aca="false">IF(I126=0,0,E126/I126*100)</f>
        <v>17.208814270724</v>
      </c>
      <c r="M126" s="5" t="n">
        <f aca="false">IF(E126=0,0,F126/E126*100)</f>
        <v>40.8536585365854</v>
      </c>
      <c r="N126" s="5" t="n">
        <f aca="false">IF(G125=0,0,(G126-G125)/G125*100)</f>
        <v>3.51941747572814</v>
      </c>
      <c r="O126" s="5" t="n">
        <f aca="false">IF(I126=0,0,B126/I126*100)</f>
        <v>78.6988457502623</v>
      </c>
      <c r="P126" s="3" t="str">
        <f aca="false">IF(A126&lt;1950,"Pre-plastic (1900-1949)",IF(A126&lt;1990,"Plastic boom (1950-1989)","Modern (1990-2026)"))</f>
        <v>Modern (1990-2026)</v>
      </c>
    </row>
    <row r="127" customFormat="false" ht="15" hidden="false" customHeight="false" outlineLevel="0" collapsed="false">
      <c r="A127" s="3" t="n">
        <v>2025</v>
      </c>
      <c r="B127" s="3" t="n">
        <v>15.5</v>
      </c>
      <c r="C127" s="3" t="n">
        <v>1.09</v>
      </c>
      <c r="D127" s="3" t="n">
        <v>3.05</v>
      </c>
      <c r="E127" s="3" t="n">
        <v>3.41</v>
      </c>
      <c r="F127" s="3" t="n">
        <v>1.4</v>
      </c>
      <c r="G127" s="3" t="n">
        <v>17.64</v>
      </c>
      <c r="H127" s="3" t="n">
        <v>39</v>
      </c>
      <c r="I127" s="4" t="n">
        <f aca="false">B127+C127+D127</f>
        <v>19.64</v>
      </c>
      <c r="J127" s="4" t="n">
        <f aca="false">I127-E127</f>
        <v>16.23</v>
      </c>
      <c r="K127" s="4" t="n">
        <f aca="false">G127-J127</f>
        <v>1.41</v>
      </c>
      <c r="L127" s="5" t="n">
        <f aca="false">IF(I127=0,0,E127/I127*100)</f>
        <v>17.3625254582485</v>
      </c>
      <c r="M127" s="5" t="n">
        <f aca="false">IF(E127=0,0,F127/E127*100)</f>
        <v>41.0557184750733</v>
      </c>
      <c r="N127" s="5" t="n">
        <f aca="false">IF(G126=0,0,(G127-G126)/G126*100)</f>
        <v>3.3997655334115</v>
      </c>
      <c r="O127" s="5" t="n">
        <f aca="false">IF(I127=0,0,B127/I127*100)</f>
        <v>78.9205702647658</v>
      </c>
      <c r="P127" s="3" t="str">
        <f aca="false">IF(A127&lt;1950,"Pre-plastic (1900-1949)",IF(A127&lt;1990,"Plastic boom (1950-1989)","Modern (1990-2026)"))</f>
        <v>Modern (1990-2026)</v>
      </c>
    </row>
    <row r="128" customFormat="false" ht="15" hidden="false" customHeight="false" outlineLevel="0" collapsed="false">
      <c r="A128" s="3" t="n">
        <v>2026</v>
      </c>
      <c r="B128" s="3" t="n">
        <v>16</v>
      </c>
      <c r="C128" s="3" t="n">
        <v>1.12</v>
      </c>
      <c r="D128" s="3" t="n">
        <v>3.1</v>
      </c>
      <c r="E128" s="3" t="n">
        <v>3.55</v>
      </c>
      <c r="F128" s="3" t="n">
        <v>1.47</v>
      </c>
      <c r="G128" s="3" t="n">
        <v>16.67</v>
      </c>
      <c r="H128" s="3" t="n">
        <v>40</v>
      </c>
      <c r="I128" s="4" t="n">
        <f aca="false">B128+C128+D128</f>
        <v>20.22</v>
      </c>
      <c r="J128" s="4" t="n">
        <f aca="false">I128-E128</f>
        <v>16.67</v>
      </c>
      <c r="K128" s="4" t="n">
        <f aca="false">G128-J128</f>
        <v>0</v>
      </c>
      <c r="L128" s="5" t="n">
        <f aca="false">IF(I128=0,0,E128/I128*100)</f>
        <v>17.5568743818002</v>
      </c>
      <c r="M128" s="5" t="n">
        <f aca="false">IF(E128=0,0,F128/E128*100)</f>
        <v>41.4084507042254</v>
      </c>
      <c r="N128" s="5" t="n">
        <f aca="false">IF(G127=0,0,(G128-G127)/G127*100)</f>
        <v>-5.49886621315192</v>
      </c>
      <c r="O128" s="5" t="n">
        <f aca="false">IF(I128=0,0,B128/I128*100)</f>
        <v>79.1295746785361</v>
      </c>
      <c r="P128" s="3" t="str">
        <f aca="false">IF(A128&lt;1950,"Pre-plastic (1900-1949)",IF(A128&lt;1990,"Plastic boom (1950-1989)","Modern (1990-2026)"))</f>
        <v>Modern (1990-2026)</v>
      </c>
    </row>
  </sheetData>
  <autoFilter ref="A1:P12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6" t="s">
        <v>16</v>
      </c>
    </row>
    <row r="2" customFormat="false" ht="15" hidden="false" customHeight="false" outlineLevel="0" collapsed="false">
      <c r="A2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8" t="s">
        <v>18</v>
      </c>
    </row>
    <row r="3" customFormat="false" ht="28.35" hidden="false" customHeight="false" outlineLevel="0" collapsed="false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G3" s="9" t="s">
        <v>25</v>
      </c>
      <c r="H3" s="9" t="s">
        <v>26</v>
      </c>
      <c r="I3" s="9" t="s">
        <v>27</v>
      </c>
    </row>
    <row r="4" customFormat="false" ht="15" hidden="false" customHeight="false" outlineLevel="0" collapsed="false">
      <c r="A4" s="3" t="s">
        <v>1</v>
      </c>
      <c r="B4" s="4" t="n">
        <f aca="false">AVERAGE('Cleaned Ocean Waste Data'!$B$2:$B$128)</f>
        <v>2.7255905511811</v>
      </c>
      <c r="C4" s="4" t="n">
        <f aca="false">MEDIAN('Cleaned Ocean Waste Data'!$B$2:$B$128)</f>
        <v>0.5</v>
      </c>
      <c r="D4" s="4" t="n">
        <f aca="false">STDEV('Cleaned Ocean Waste Data'!$B$2:$B$128)</f>
        <v>4.21637692464794</v>
      </c>
      <c r="E4" s="4" t="n">
        <f aca="false">MIN('Cleaned Ocean Waste Data'!$B$2:$B$128)</f>
        <v>0</v>
      </c>
      <c r="F4" s="4" t="n">
        <f aca="false">MAX('Cleaned Ocean Waste Data'!$B$2:$B$128)</f>
        <v>16</v>
      </c>
      <c r="G4" s="10" t="n">
        <f aca="false">INDEX('Cleaned Ocean Waste Data'!$A$2:$A$128,MATCH(F4,'Cleaned Ocean Waste Data'!$B$2:$B$128,0))</f>
        <v>2026</v>
      </c>
      <c r="H4" s="4" t="n">
        <f aca="false">SUM('Cleaned Ocean Waste Data'!$B$2:$B$128)</f>
        <v>346.15</v>
      </c>
      <c r="I4" s="4" t="n">
        <f aca="false">CORREL('Cleaned Ocean Waste Data'!$B$2:$B$128,'Cleaned Ocean Waste Data'!$G$2:$G$128)</f>
        <v>0.998815038756143</v>
      </c>
    </row>
    <row r="5" customFormat="false" ht="15" hidden="false" customHeight="false" outlineLevel="0" collapsed="false">
      <c r="A5" s="3" t="s">
        <v>2</v>
      </c>
      <c r="B5" s="4" t="n">
        <f aca="false">AVERAGE('Cleaned Ocean Waste Data'!$C$2:$C$128)</f>
        <v>0.236692913385827</v>
      </c>
      <c r="C5" s="4" t="n">
        <f aca="false">MEDIAN('Cleaned Ocean Waste Data'!$C$2:$C$128)</f>
        <v>0.07</v>
      </c>
      <c r="D5" s="4" t="n">
        <f aca="false">STDEV('Cleaned Ocean Waste Data'!$C$2:$C$128)</f>
        <v>0.306296503092223</v>
      </c>
      <c r="E5" s="4" t="n">
        <f aca="false">MIN('Cleaned Ocean Waste Data'!$C$2:$C$128)</f>
        <v>0.01</v>
      </c>
      <c r="F5" s="4" t="n">
        <f aca="false">MAX('Cleaned Ocean Waste Data'!$C$2:$C$128)</f>
        <v>1.12</v>
      </c>
      <c r="G5" s="10" t="n">
        <f aca="false">INDEX('Cleaned Ocean Waste Data'!$A$2:$A$128,MATCH(F5,'Cleaned Ocean Waste Data'!$C$2:$C$128,0))</f>
        <v>2026</v>
      </c>
      <c r="H5" s="4" t="n">
        <f aca="false">SUM('Cleaned Ocean Waste Data'!$C$2:$C$128)</f>
        <v>30.06</v>
      </c>
      <c r="I5" s="4" t="n">
        <f aca="false">CORREL('Cleaned Ocean Waste Data'!$C$2:$C$128,'Cleaned Ocean Waste Data'!$G$2:$G$128)</f>
        <v>0.996317851501906</v>
      </c>
    </row>
    <row r="6" customFormat="false" ht="15" hidden="false" customHeight="false" outlineLevel="0" collapsed="false">
      <c r="A6" s="3" t="s">
        <v>3</v>
      </c>
      <c r="B6" s="4" t="n">
        <f aca="false">AVERAGE('Cleaned Ocean Waste Data'!$D$2:$D$128)</f>
        <v>0.989370078740158</v>
      </c>
      <c r="C6" s="4" t="n">
        <f aca="false">MEDIAN('Cleaned Ocean Waste Data'!$D$2:$D$128)</f>
        <v>0.62</v>
      </c>
      <c r="D6" s="4" t="n">
        <f aca="false">STDEV('Cleaned Ocean Waste Data'!$D$2:$D$128)</f>
        <v>0.860781988540667</v>
      </c>
      <c r="E6" s="4" t="n">
        <f aca="false">MIN('Cleaned Ocean Waste Data'!$D$2:$D$128)</f>
        <v>0.1</v>
      </c>
      <c r="F6" s="4" t="n">
        <f aca="false">MAX('Cleaned Ocean Waste Data'!$D$2:$D$128)</f>
        <v>3.1</v>
      </c>
      <c r="G6" s="10" t="n">
        <f aca="false">INDEX('Cleaned Ocean Waste Data'!$A$2:$A$128,MATCH(F6,'Cleaned Ocean Waste Data'!$D$2:$D$128,0))</f>
        <v>2026</v>
      </c>
      <c r="H6" s="4" t="n">
        <f aca="false">SUM('Cleaned Ocean Waste Data'!$D$2:$D$128)</f>
        <v>125.65</v>
      </c>
      <c r="I6" s="4" t="n">
        <f aca="false">CORREL('Cleaned Ocean Waste Data'!$D$2:$D$128,'Cleaned Ocean Waste Data'!$G$2:$G$128)</f>
        <v>0.978434819748059</v>
      </c>
    </row>
    <row r="7" customFormat="false" ht="15" hidden="false" customHeight="false" outlineLevel="0" collapsed="false">
      <c r="A7" s="3" t="s">
        <v>4</v>
      </c>
      <c r="B7" s="4" t="n">
        <f aca="false">AVERAGE('Cleaned Ocean Waste Data'!$E$2:$E$128)</f>
        <v>0.635196850393701</v>
      </c>
      <c r="C7" s="4" t="n">
        <f aca="false">MEDIAN('Cleaned Ocean Waste Data'!$E$2:$E$128)</f>
        <v>0.14</v>
      </c>
      <c r="D7" s="4" t="n">
        <f aca="false">STDEV('Cleaned Ocean Waste Data'!$E$2:$E$128)</f>
        <v>0.923603923212828</v>
      </c>
      <c r="E7" s="4" t="n">
        <f aca="false">MIN('Cleaned Ocean Waste Data'!$E$2:$E$128)</f>
        <v>0</v>
      </c>
      <c r="F7" s="4" t="n">
        <f aca="false">MAX('Cleaned Ocean Waste Data'!$E$2:$E$128)</f>
        <v>3.55</v>
      </c>
      <c r="G7" s="10" t="n">
        <f aca="false">INDEX('Cleaned Ocean Waste Data'!$A$2:$A$128,MATCH(F7,'Cleaned Ocean Waste Data'!$E$2:$E$128,0))</f>
        <v>2026</v>
      </c>
      <c r="H7" s="4" t="n">
        <f aca="false">SUM('Cleaned Ocean Waste Data'!$E$2:$E$128)</f>
        <v>80.67</v>
      </c>
      <c r="I7" s="4" t="n">
        <f aca="false">CORREL('Cleaned Ocean Waste Data'!$E$2:$E$128,'Cleaned Ocean Waste Data'!$G$2:$G$128)</f>
        <v>0.997025151570577</v>
      </c>
    </row>
    <row r="8" customFormat="false" ht="15" hidden="false" customHeight="false" outlineLevel="0" collapsed="false">
      <c r="A8" s="3" t="s">
        <v>5</v>
      </c>
      <c r="B8" s="4" t="n">
        <f aca="false">AVERAGE('Cleaned Ocean Waste Data'!$F$2:$F$128)</f>
        <v>0.214330708661417</v>
      </c>
      <c r="C8" s="4" t="n">
        <f aca="false">MEDIAN('Cleaned Ocean Waste Data'!$F$2:$F$128)</f>
        <v>0</v>
      </c>
      <c r="D8" s="4" t="n">
        <f aca="false">STDEV('Cleaned Ocean Waste Data'!$F$2:$F$128)</f>
        <v>0.37662576800965</v>
      </c>
      <c r="E8" s="4" t="n">
        <f aca="false">MIN('Cleaned Ocean Waste Data'!$F$2:$F$128)</f>
        <v>0</v>
      </c>
      <c r="F8" s="4" t="n">
        <f aca="false">MAX('Cleaned Ocean Waste Data'!$F$2:$F$128)</f>
        <v>1.47</v>
      </c>
      <c r="G8" s="10" t="n">
        <f aca="false">INDEX('Cleaned Ocean Waste Data'!$A$2:$A$128,MATCH(F8,'Cleaned Ocean Waste Data'!$F$2:$F$128,0))</f>
        <v>2026</v>
      </c>
      <c r="H8" s="4" t="n">
        <f aca="false">SUM('Cleaned Ocean Waste Data'!$F$2:$F$128)</f>
        <v>27.22</v>
      </c>
      <c r="I8" s="4" t="n">
        <f aca="false">CORREL('Cleaned Ocean Waste Data'!$F$2:$F$128,'Cleaned Ocean Waste Data'!$G$2:$G$128)</f>
        <v>0.990005744791112</v>
      </c>
    </row>
    <row r="9" customFormat="false" ht="15" hidden="false" customHeight="false" outlineLevel="0" collapsed="false">
      <c r="A9" s="3" t="s">
        <v>6</v>
      </c>
      <c r="B9" s="4" t="n">
        <f aca="false">AVERAGE('Cleaned Ocean Waste Data'!$G$2:$G$128)</f>
        <v>3.3548031496063</v>
      </c>
      <c r="C9" s="4" t="n">
        <f aca="false">MEDIAN('Cleaned Ocean Waste Data'!$G$2:$G$128)</f>
        <v>1.05</v>
      </c>
      <c r="D9" s="4" t="n">
        <f aca="false">STDEV('Cleaned Ocean Waste Data'!$G$2:$G$128)</f>
        <v>4.55243208162052</v>
      </c>
      <c r="E9" s="4" t="n">
        <f aca="false">MIN('Cleaned Ocean Waste Data'!$G$2:$G$128)</f>
        <v>0.11</v>
      </c>
      <c r="F9" s="4" t="n">
        <f aca="false">MAX('Cleaned Ocean Waste Data'!$G$2:$G$128)</f>
        <v>17.64</v>
      </c>
      <c r="G9" s="10" t="n">
        <f aca="false">INDEX('Cleaned Ocean Waste Data'!$A$2:$A$128,MATCH(F9,'Cleaned Ocean Waste Data'!$G$2:$G$128,0))</f>
        <v>2025</v>
      </c>
      <c r="H9" s="4" t="n">
        <f aca="false">SUM('Cleaned Ocean Waste Data'!$G$2:$G$128)</f>
        <v>426.06</v>
      </c>
      <c r="I9" s="4" t="n">
        <f aca="false">CORREL('Cleaned Ocean Waste Data'!$G$2:$G$128,'Cleaned Ocean Waste Data'!$G$2:$G$128)</f>
        <v>1</v>
      </c>
    </row>
    <row r="10" customFormat="false" ht="15" hidden="false" customHeight="false" outlineLevel="0" collapsed="false">
      <c r="A10" s="3" t="s">
        <v>7</v>
      </c>
      <c r="B10" s="4" t="n">
        <f aca="false">AVERAGE('Cleaned Ocean Waste Data'!$H$2:$H$128)</f>
        <v>12.2992125984252</v>
      </c>
      <c r="C10" s="4" t="n">
        <f aca="false">MEDIAN('Cleaned Ocean Waste Data'!$H$2:$H$128)</f>
        <v>7</v>
      </c>
      <c r="D10" s="4" t="n">
        <f aca="false">STDEV('Cleaned Ocean Waste Data'!$H$2:$H$128)</f>
        <v>11.1022055299407</v>
      </c>
      <c r="E10" s="4" t="n">
        <f aca="false">MIN('Cleaned Ocean Waste Data'!$H$2:$H$128)</f>
        <v>1</v>
      </c>
      <c r="F10" s="4" t="n">
        <f aca="false">MAX('Cleaned Ocean Waste Data'!$H$2:$H$128)</f>
        <v>40</v>
      </c>
      <c r="G10" s="10" t="n">
        <f aca="false">INDEX('Cleaned Ocean Waste Data'!$A$2:$A$128,MATCH(F10,'Cleaned Ocean Waste Data'!$H$2:$H$128,0))</f>
        <v>2026</v>
      </c>
      <c r="H10" s="4" t="s">
        <v>28</v>
      </c>
      <c r="I10" s="4" t="n">
        <f aca="false">CORREL('Cleaned Ocean Waste Data'!$H$2:$H$128,'Cleaned Ocean Waste Data'!$G$2:$G$128)</f>
        <v>0.977849785627447</v>
      </c>
    </row>
    <row r="11" customFormat="false" ht="15" hidden="false" customHeight="false" outlineLevel="0" collapsed="false">
      <c r="A11" s="3" t="s">
        <v>8</v>
      </c>
      <c r="B11" s="4" t="n">
        <f aca="false">AVERAGE('Cleaned Ocean Waste Data'!$I$2:$I$128)</f>
        <v>3.95165354330709</v>
      </c>
      <c r="C11" s="4" t="n">
        <f aca="false">MEDIAN('Cleaned Ocean Waste Data'!$I$2:$I$128)</f>
        <v>1.19</v>
      </c>
      <c r="D11" s="4" t="n">
        <f aca="false">STDEV('Cleaned Ocean Waste Data'!$I$2:$I$128)</f>
        <v>5.36326626430874</v>
      </c>
      <c r="E11" s="4" t="n">
        <f aca="false">MIN('Cleaned Ocean Waste Data'!$I$2:$I$128)</f>
        <v>0.11</v>
      </c>
      <c r="F11" s="4" t="n">
        <f aca="false">MAX('Cleaned Ocean Waste Data'!$I$2:$I$128)</f>
        <v>20.22</v>
      </c>
      <c r="G11" s="10" t="n">
        <f aca="false">INDEX('Cleaned Ocean Waste Data'!$A$2:$A$128,MATCH(F11,'Cleaned Ocean Waste Data'!$I$2:$I$128,0))</f>
        <v>2026</v>
      </c>
      <c r="H11" s="4" t="n">
        <f aca="false">SUM('Cleaned Ocean Waste Data'!$I$2:$I$128)</f>
        <v>501.86</v>
      </c>
      <c r="I11" s="4" t="n">
        <f aca="false">CORREL('Cleaned Ocean Waste Data'!$I$2:$I$128,'Cleaned Ocean Waste Data'!$G$2:$G$128)</f>
        <v>0.999161361938642</v>
      </c>
    </row>
    <row r="12" customFormat="false" ht="15" hidden="false" customHeight="false" outlineLevel="0" collapsed="false">
      <c r="A12" s="3" t="s">
        <v>11</v>
      </c>
      <c r="B12" s="4" t="n">
        <f aca="false">AVERAGE('Cleaned Ocean Waste Data'!$L$2:$L$128)</f>
        <v>14.5331192791296</v>
      </c>
      <c r="C12" s="4" t="n">
        <f aca="false">MEDIAN('Cleaned Ocean Waste Data'!$L$2:$L$128)</f>
        <v>15.7894736842105</v>
      </c>
      <c r="D12" s="4" t="n">
        <f aca="false">STDEV('Cleaned Ocean Waste Data'!$L$2:$L$128)</f>
        <v>3.97134877734292</v>
      </c>
      <c r="E12" s="4" t="n">
        <f aca="false">MIN('Cleaned Ocean Waste Data'!$L$2:$L$128)</f>
        <v>0</v>
      </c>
      <c r="F12" s="4" t="n">
        <f aca="false">MAX('Cleaned Ocean Waste Data'!$L$2:$L$128)</f>
        <v>20</v>
      </c>
      <c r="G12" s="10" t="n">
        <f aca="false">INDEX('Cleaned Ocean Waste Data'!$A$2:$A$128,MATCH(F12,'Cleaned Ocean Waste Data'!$L$2:$L$128,0))</f>
        <v>1942</v>
      </c>
      <c r="H12" s="4" t="s">
        <v>28</v>
      </c>
      <c r="I12" s="4" t="n">
        <f aca="false">CORREL('Cleaned Ocean Waste Data'!$L$2:$L$128,'Cleaned Ocean Waste Data'!$G$2:$G$128)</f>
        <v>0.281797983498732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16"/>
  </cols>
  <sheetData>
    <row r="1" customFormat="false" ht="17.35" hidden="false" customHeight="false" outlineLevel="0" collapsed="false">
      <c r="A1" s="8" t="s">
        <v>29</v>
      </c>
    </row>
    <row r="3" customFormat="false" ht="45" hidden="false" customHeight="true" outlineLevel="0" collapsed="false">
      <c r="A3" s="11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  <c r="G3" s="11" t="s">
        <v>36</v>
      </c>
      <c r="H3" s="11" t="s">
        <v>37</v>
      </c>
      <c r="I3" s="11" t="s">
        <v>38</v>
      </c>
      <c r="J3" s="11" t="s">
        <v>39</v>
      </c>
      <c r="K3" s="11" t="s">
        <v>40</v>
      </c>
    </row>
    <row r="4" customFormat="false" ht="15" hidden="false" customHeight="false" outlineLevel="0" collapsed="false">
      <c r="A4" s="3" t="n">
        <v>1900</v>
      </c>
      <c r="B4" s="3" t="n">
        <f aca="false">COUNTIFS('Cleaned Ocean Waste Data'!$A$2:$A$128,"&gt;="&amp;$A4,'Cleaned Ocean Waste Data'!$A$2:$A$128,"&lt;"&amp;($A4+10))</f>
        <v>10</v>
      </c>
      <c r="C4" s="4" t="n">
        <f aca="false">AVERAGEIFS('Cleaned Ocean Waste Data'!$B$2:$B$128,'Cleaned Ocean Waste Data'!$A$2:$A$128,"&gt;="&amp;$A4,'Cleaned Ocean Waste Data'!$A$2:$A$128,"&lt;"&amp;($A4+10))</f>
        <v>0</v>
      </c>
      <c r="D4" s="4" t="n">
        <f aca="false">AVERAGEIFS('Cleaned Ocean Waste Data'!$C$2:$C$128,'Cleaned Ocean Waste Data'!$A$2:$A$128,"&gt;="&amp;$A4,'Cleaned Ocean Waste Data'!$A$2:$A$128,"&lt;"&amp;($A4+10))</f>
        <v>0.015</v>
      </c>
      <c r="E4" s="4" t="n">
        <f aca="false">AVERAGEIFS('Cleaned Ocean Waste Data'!$D$2:$D$128,'Cleaned Ocean Waste Data'!$A$2:$A$128,"&gt;="&amp;$A4,'Cleaned Ocean Waste Data'!$A$2:$A$128,"&lt;"&amp;($A4+10))</f>
        <v>0.137</v>
      </c>
      <c r="F4" s="4" t="n">
        <f aca="false">AVERAGEIFS('Cleaned Ocean Waste Data'!$E$2:$E$128,'Cleaned Ocean Waste Data'!$A$2:$A$128,"&gt;="&amp;$A4,'Cleaned Ocean Waste Data'!$A$2:$A$128,"&lt;"&amp;($A4+10))</f>
        <v>0.01</v>
      </c>
      <c r="G4" s="4" t="n">
        <f aca="false">AVERAGEIFS('Cleaned Ocean Waste Data'!$F$2:$F$128,'Cleaned Ocean Waste Data'!$A$2:$A$128,"&gt;="&amp;$A4,'Cleaned Ocean Waste Data'!$A$2:$A$128,"&lt;"&amp;($A4+10))</f>
        <v>0</v>
      </c>
      <c r="H4" s="4" t="n">
        <f aca="false">AVERAGEIFS('Cleaned Ocean Waste Data'!$G$2:$G$128,'Cleaned Ocean Waste Data'!$A$2:$A$128,"&gt;="&amp;$A4,'Cleaned Ocean Waste Data'!$A$2:$A$128,"&lt;"&amp;($A4+10))</f>
        <v>0.142</v>
      </c>
      <c r="I4" s="4" t="n">
        <f aca="false">AVERAGEIFS('Cleaned Ocean Waste Data'!$H$2:$H$128,'Cleaned Ocean Waste Data'!$A$2:$A$128,"&gt;="&amp;$A4,'Cleaned Ocean Waste Data'!$A$2:$A$128,"&lt;"&amp;($A4+10))</f>
        <v>1.5</v>
      </c>
      <c r="J4" s="4" t="n">
        <f aca="false">AVERAGEIFS('Cleaned Ocean Waste Data'!$L$2:$L$128,'Cleaned Ocean Waste Data'!$A$2:$A$128,"&gt;="&amp;$A4,'Cleaned Ocean Waste Data'!$A$2:$A$128,"&lt;"&amp;($A4+10))</f>
        <v>5.91312604663998</v>
      </c>
      <c r="K4" s="5"/>
    </row>
    <row r="5" customFormat="false" ht="15" hidden="false" customHeight="false" outlineLevel="0" collapsed="false">
      <c r="A5" s="3" t="n">
        <v>1910</v>
      </c>
      <c r="B5" s="3" t="n">
        <f aca="false">COUNTIFS('Cleaned Ocean Waste Data'!$A$2:$A$128,"&gt;="&amp;$A5,'Cleaned Ocean Waste Data'!$A$2:$A$128,"&lt;"&amp;($A5+10))</f>
        <v>10</v>
      </c>
      <c r="C5" s="4" t="n">
        <f aca="false">AVERAGEIFS('Cleaned Ocean Waste Data'!$B$2:$B$128,'Cleaned Ocean Waste Data'!$A$2:$A$128,"&gt;="&amp;$A5,'Cleaned Ocean Waste Data'!$A$2:$A$128,"&lt;"&amp;($A5+10))</f>
        <v>0</v>
      </c>
      <c r="D5" s="4" t="n">
        <f aca="false">AVERAGEIFS('Cleaned Ocean Waste Data'!$C$2:$C$128,'Cleaned Ocean Waste Data'!$A$2:$A$128,"&gt;="&amp;$A5,'Cleaned Ocean Waste Data'!$A$2:$A$128,"&lt;"&amp;($A5+10))</f>
        <v>0.025</v>
      </c>
      <c r="E5" s="4" t="n">
        <f aca="false">AVERAGEIFS('Cleaned Ocean Waste Data'!$D$2:$D$128,'Cleaned Ocean Waste Data'!$A$2:$A$128,"&gt;="&amp;$A5,'Cleaned Ocean Waste Data'!$A$2:$A$128,"&lt;"&amp;($A5+10))</f>
        <v>0.22</v>
      </c>
      <c r="F5" s="4" t="n">
        <f aca="false">AVERAGEIFS('Cleaned Ocean Waste Data'!$E$2:$E$128,'Cleaned Ocean Waste Data'!$A$2:$A$128,"&gt;="&amp;$A5,'Cleaned Ocean Waste Data'!$A$2:$A$128,"&lt;"&amp;($A5+10))</f>
        <v>0.033</v>
      </c>
      <c r="G5" s="4" t="n">
        <f aca="false">AVERAGEIFS('Cleaned Ocean Waste Data'!$F$2:$F$128,'Cleaned Ocean Waste Data'!$A$2:$A$128,"&gt;="&amp;$A5,'Cleaned Ocean Waste Data'!$A$2:$A$128,"&lt;"&amp;($A5+10))</f>
        <v>0</v>
      </c>
      <c r="H5" s="4" t="n">
        <f aca="false">AVERAGEIFS('Cleaned Ocean Waste Data'!$G$2:$G$128,'Cleaned Ocean Waste Data'!$A$2:$A$128,"&gt;="&amp;$A5,'Cleaned Ocean Waste Data'!$A$2:$A$128,"&lt;"&amp;($A5+10))</f>
        <v>0.212</v>
      </c>
      <c r="I5" s="4" t="n">
        <f aca="false">AVERAGEIFS('Cleaned Ocean Waste Data'!$H$2:$H$128,'Cleaned Ocean Waste Data'!$A$2:$A$128,"&gt;="&amp;$A5,'Cleaned Ocean Waste Data'!$A$2:$A$128,"&lt;"&amp;($A5+10))</f>
        <v>2.5</v>
      </c>
      <c r="J5" s="4" t="n">
        <f aca="false">AVERAGEIFS('Cleaned Ocean Waste Data'!$L$2:$L$128,'Cleaned Ocean Waste Data'!$A$2:$A$128,"&gt;="&amp;$A5,'Cleaned Ocean Waste Data'!$A$2:$A$128,"&lt;"&amp;($A5+10))</f>
        <v>13.3743804116368</v>
      </c>
      <c r="K5" s="5" t="n">
        <f aca="false">IF(H4=0,0,(H5-H4)/H4*100)</f>
        <v>49.2957746478874</v>
      </c>
    </row>
    <row r="6" customFormat="false" ht="15" hidden="false" customHeight="false" outlineLevel="0" collapsed="false">
      <c r="A6" s="3" t="n">
        <v>1920</v>
      </c>
      <c r="B6" s="3" t="n">
        <f aca="false">COUNTIFS('Cleaned Ocean Waste Data'!$A$2:$A$128,"&gt;="&amp;$A6,'Cleaned Ocean Waste Data'!$A$2:$A$128,"&lt;"&amp;($A6+10))</f>
        <v>10</v>
      </c>
      <c r="C6" s="4" t="n">
        <f aca="false">AVERAGEIFS('Cleaned Ocean Waste Data'!$B$2:$B$128,'Cleaned Ocean Waste Data'!$A$2:$A$128,"&gt;="&amp;$A6,'Cleaned Ocean Waste Data'!$A$2:$A$128,"&lt;"&amp;($A6+10))</f>
        <v>0</v>
      </c>
      <c r="D6" s="4" t="n">
        <f aca="false">AVERAGEIFS('Cleaned Ocean Waste Data'!$C$2:$C$128,'Cleaned Ocean Waste Data'!$A$2:$A$128,"&gt;="&amp;$A6,'Cleaned Ocean Waste Data'!$A$2:$A$128,"&lt;"&amp;($A6+10))</f>
        <v>0.035</v>
      </c>
      <c r="E6" s="4" t="n">
        <f aca="false">AVERAGEIFS('Cleaned Ocean Waste Data'!$D$2:$D$128,'Cleaned Ocean Waste Data'!$A$2:$A$128,"&gt;="&amp;$A6,'Cleaned Ocean Waste Data'!$A$2:$A$128,"&lt;"&amp;($A6+10))</f>
        <v>0.301</v>
      </c>
      <c r="F6" s="4" t="n">
        <f aca="false">AVERAGEIFS('Cleaned Ocean Waste Data'!$E$2:$E$128,'Cleaned Ocean Waste Data'!$A$2:$A$128,"&gt;="&amp;$A6,'Cleaned Ocean Waste Data'!$A$2:$A$128,"&lt;"&amp;($A6+10))</f>
        <v>0.056</v>
      </c>
      <c r="G6" s="4" t="n">
        <f aca="false">AVERAGEIFS('Cleaned Ocean Waste Data'!$F$2:$F$128,'Cleaned Ocean Waste Data'!$A$2:$A$128,"&gt;="&amp;$A6,'Cleaned Ocean Waste Data'!$A$2:$A$128,"&lt;"&amp;($A6+10))</f>
        <v>0</v>
      </c>
      <c r="H6" s="4" t="n">
        <f aca="false">AVERAGEIFS('Cleaned Ocean Waste Data'!$G$2:$G$128,'Cleaned Ocean Waste Data'!$A$2:$A$128,"&gt;="&amp;$A6,'Cleaned Ocean Waste Data'!$A$2:$A$128,"&lt;"&amp;($A6+10))</f>
        <v>0.28</v>
      </c>
      <c r="I6" s="4" t="n">
        <f aca="false">AVERAGEIFS('Cleaned Ocean Waste Data'!$H$2:$H$128,'Cleaned Ocean Waste Data'!$A$2:$A$128,"&gt;="&amp;$A6,'Cleaned Ocean Waste Data'!$A$2:$A$128,"&lt;"&amp;($A6+10))</f>
        <v>3.5</v>
      </c>
      <c r="J6" s="4" t="n">
        <f aca="false">AVERAGEIFS('Cleaned Ocean Waste Data'!$L$2:$L$128,'Cleaned Ocean Waste Data'!$A$2:$A$128,"&gt;="&amp;$A6,'Cleaned Ocean Waste Data'!$A$2:$A$128,"&lt;"&amp;($A6+10))</f>
        <v>16.6403243186767</v>
      </c>
      <c r="K6" s="5" t="n">
        <f aca="false">IF(H5=0,0,(H6-H5)/H5*100)</f>
        <v>32.0754716981132</v>
      </c>
    </row>
    <row r="7" customFormat="false" ht="15" hidden="false" customHeight="false" outlineLevel="0" collapsed="false">
      <c r="A7" s="3" t="n">
        <v>1930</v>
      </c>
      <c r="B7" s="3" t="n">
        <f aca="false">COUNTIFS('Cleaned Ocean Waste Data'!$A$2:$A$128,"&gt;="&amp;$A7,'Cleaned Ocean Waste Data'!$A$2:$A$128,"&lt;"&amp;($A7+10))</f>
        <v>10</v>
      </c>
      <c r="C7" s="4" t="n">
        <f aca="false">AVERAGEIFS('Cleaned Ocean Waste Data'!$B$2:$B$128,'Cleaned Ocean Waste Data'!$A$2:$A$128,"&gt;="&amp;$A7,'Cleaned Ocean Waste Data'!$A$2:$A$128,"&lt;"&amp;($A7+10))</f>
        <v>0</v>
      </c>
      <c r="D7" s="4" t="n">
        <f aca="false">AVERAGEIFS('Cleaned Ocean Waste Data'!$C$2:$C$128,'Cleaned Ocean Waste Data'!$A$2:$A$128,"&gt;="&amp;$A7,'Cleaned Ocean Waste Data'!$A$2:$A$128,"&lt;"&amp;($A7+10))</f>
        <v>0.045</v>
      </c>
      <c r="E7" s="4" t="n">
        <f aca="false">AVERAGEIFS('Cleaned Ocean Waste Data'!$D$2:$D$128,'Cleaned Ocean Waste Data'!$A$2:$A$128,"&gt;="&amp;$A7,'Cleaned Ocean Waste Data'!$A$2:$A$128,"&lt;"&amp;($A7+10))</f>
        <v>0.384</v>
      </c>
      <c r="F7" s="4" t="n">
        <f aca="false">AVERAGEIFS('Cleaned Ocean Waste Data'!$E$2:$E$128,'Cleaned Ocean Waste Data'!$A$2:$A$128,"&gt;="&amp;$A7,'Cleaned Ocean Waste Data'!$A$2:$A$128,"&lt;"&amp;($A7+10))</f>
        <v>0.079</v>
      </c>
      <c r="G7" s="4" t="n">
        <f aca="false">AVERAGEIFS('Cleaned Ocean Waste Data'!$F$2:$F$128,'Cleaned Ocean Waste Data'!$A$2:$A$128,"&gt;="&amp;$A7,'Cleaned Ocean Waste Data'!$A$2:$A$128,"&lt;"&amp;($A7+10))</f>
        <v>0</v>
      </c>
      <c r="H7" s="4" t="n">
        <f aca="false">AVERAGEIFS('Cleaned Ocean Waste Data'!$G$2:$G$128,'Cleaned Ocean Waste Data'!$A$2:$A$128,"&gt;="&amp;$A7,'Cleaned Ocean Waste Data'!$A$2:$A$128,"&lt;"&amp;($A7+10))</f>
        <v>0.35</v>
      </c>
      <c r="I7" s="4" t="n">
        <f aca="false">AVERAGEIFS('Cleaned Ocean Waste Data'!$H$2:$H$128,'Cleaned Ocean Waste Data'!$A$2:$A$128,"&gt;="&amp;$A7,'Cleaned Ocean Waste Data'!$A$2:$A$128,"&lt;"&amp;($A7+10))</f>
        <v>4.5</v>
      </c>
      <c r="J7" s="4" t="n">
        <f aca="false">AVERAGEIFS('Cleaned Ocean Waste Data'!$L$2:$L$128,'Cleaned Ocean Waste Data'!$A$2:$A$128,"&gt;="&amp;$A7,'Cleaned Ocean Waste Data'!$A$2:$A$128,"&lt;"&amp;($A7+10))</f>
        <v>18.3960059417179</v>
      </c>
      <c r="K7" s="5" t="n">
        <f aca="false">IF(H6=0,0,(H7-H6)/H6*100)</f>
        <v>25</v>
      </c>
    </row>
    <row r="8" customFormat="false" ht="15" hidden="false" customHeight="false" outlineLevel="0" collapsed="false">
      <c r="A8" s="3" t="n">
        <v>1940</v>
      </c>
      <c r="B8" s="3" t="n">
        <f aca="false">COUNTIFS('Cleaned Ocean Waste Data'!$A$2:$A$128,"&gt;="&amp;$A8,'Cleaned Ocean Waste Data'!$A$2:$A$128,"&lt;"&amp;($A8+10))</f>
        <v>10</v>
      </c>
      <c r="C8" s="4" t="n">
        <f aca="false">AVERAGEIFS('Cleaned Ocean Waste Data'!$B$2:$B$128,'Cleaned Ocean Waste Data'!$A$2:$A$128,"&gt;="&amp;$A8,'Cleaned Ocean Waste Data'!$A$2:$A$128,"&lt;"&amp;($A8+10))</f>
        <v>0</v>
      </c>
      <c r="D8" s="4" t="n">
        <f aca="false">AVERAGEIFS('Cleaned Ocean Waste Data'!$C$2:$C$128,'Cleaned Ocean Waste Data'!$A$2:$A$128,"&gt;="&amp;$A8,'Cleaned Ocean Waste Data'!$A$2:$A$128,"&lt;"&amp;($A8+10))</f>
        <v>0.055</v>
      </c>
      <c r="E8" s="4" t="n">
        <f aca="false">AVERAGEIFS('Cleaned Ocean Waste Data'!$D$2:$D$128,'Cleaned Ocean Waste Data'!$A$2:$A$128,"&gt;="&amp;$A8,'Cleaned Ocean Waste Data'!$A$2:$A$128,"&lt;"&amp;($A8+10))</f>
        <v>0.466</v>
      </c>
      <c r="F8" s="4" t="n">
        <f aca="false">AVERAGEIFS('Cleaned Ocean Waste Data'!$E$2:$E$128,'Cleaned Ocean Waste Data'!$A$2:$A$128,"&gt;="&amp;$A8,'Cleaned Ocean Waste Data'!$A$2:$A$128,"&lt;"&amp;($A8+10))</f>
        <v>0.101</v>
      </c>
      <c r="G8" s="4" t="n">
        <f aca="false">AVERAGEIFS('Cleaned Ocean Waste Data'!$F$2:$F$128,'Cleaned Ocean Waste Data'!$A$2:$A$128,"&gt;="&amp;$A8,'Cleaned Ocean Waste Data'!$A$2:$A$128,"&lt;"&amp;($A8+10))</f>
        <v>0</v>
      </c>
      <c r="H8" s="4" t="n">
        <f aca="false">AVERAGEIFS('Cleaned Ocean Waste Data'!$G$2:$G$128,'Cleaned Ocean Waste Data'!$A$2:$A$128,"&gt;="&amp;$A8,'Cleaned Ocean Waste Data'!$A$2:$A$128,"&lt;"&amp;($A8+10))</f>
        <v>0.42</v>
      </c>
      <c r="I8" s="4" t="n">
        <f aca="false">AVERAGEIFS('Cleaned Ocean Waste Data'!$H$2:$H$128,'Cleaned Ocean Waste Data'!$A$2:$A$128,"&gt;="&amp;$A8,'Cleaned Ocean Waste Data'!$A$2:$A$128,"&lt;"&amp;($A8+10))</f>
        <v>5.5</v>
      </c>
      <c r="J8" s="4" t="n">
        <f aca="false">AVERAGEIFS('Cleaned Ocean Waste Data'!$L$2:$L$128,'Cleaned Ocean Waste Data'!$A$2:$A$128,"&gt;="&amp;$A8,'Cleaned Ocean Waste Data'!$A$2:$A$128,"&lt;"&amp;($A8+10))</f>
        <v>19.3754490265708</v>
      </c>
      <c r="K8" s="5" t="n">
        <f aca="false">IF(H7=0,0,(H8-H7)/H7*100)</f>
        <v>20</v>
      </c>
    </row>
    <row r="9" customFormat="false" ht="15" hidden="false" customHeight="false" outlineLevel="0" collapsed="false">
      <c r="A9" s="3" t="n">
        <v>1950</v>
      </c>
      <c r="B9" s="3" t="n">
        <f aca="false">COUNTIFS('Cleaned Ocean Waste Data'!$A$2:$A$128,"&gt;="&amp;$A9,'Cleaned Ocean Waste Data'!$A$2:$A$128,"&lt;"&amp;($A9+10))</f>
        <v>10</v>
      </c>
      <c r="C9" s="4" t="n">
        <f aca="false">AVERAGEIFS('Cleaned Ocean Waste Data'!$B$2:$B$128,'Cleaned Ocean Waste Data'!$A$2:$A$128,"&gt;="&amp;$A9,'Cleaned Ocean Waste Data'!$A$2:$A$128,"&lt;"&amp;($A9+10))</f>
        <v>0.18</v>
      </c>
      <c r="D9" s="4" t="n">
        <f aca="false">AVERAGEIFS('Cleaned Ocean Waste Data'!$C$2:$C$128,'Cleaned Ocean Waste Data'!$A$2:$A$128,"&gt;="&amp;$A9,'Cleaned Ocean Waste Data'!$A$2:$A$128,"&lt;"&amp;($A9+10))</f>
        <v>0.065</v>
      </c>
      <c r="E9" s="4" t="n">
        <f aca="false">AVERAGEIFS('Cleaned Ocean Waste Data'!$D$2:$D$128,'Cleaned Ocean Waste Data'!$A$2:$A$128,"&gt;="&amp;$A9,'Cleaned Ocean Waste Data'!$A$2:$A$128,"&lt;"&amp;($A9+10))</f>
        <v>0.549</v>
      </c>
      <c r="F9" s="4" t="n">
        <f aca="false">AVERAGEIFS('Cleaned Ocean Waste Data'!$E$2:$E$128,'Cleaned Ocean Waste Data'!$A$2:$A$128,"&gt;="&amp;$A9,'Cleaned Ocean Waste Data'!$A$2:$A$128,"&lt;"&amp;($A9+10))</f>
        <v>0.124</v>
      </c>
      <c r="G9" s="4" t="n">
        <f aca="false">AVERAGEIFS('Cleaned Ocean Waste Data'!$F$2:$F$128,'Cleaned Ocean Waste Data'!$A$2:$A$128,"&gt;="&amp;$A9,'Cleaned Ocean Waste Data'!$A$2:$A$128,"&lt;"&amp;($A9+10))</f>
        <v>0</v>
      </c>
      <c r="H9" s="4" t="n">
        <f aca="false">AVERAGEIFS('Cleaned Ocean Waste Data'!$G$2:$G$128,'Cleaned Ocean Waste Data'!$A$2:$A$128,"&gt;="&amp;$A9,'Cleaned Ocean Waste Data'!$A$2:$A$128,"&lt;"&amp;($A9+10))</f>
        <v>0.67</v>
      </c>
      <c r="I9" s="4" t="n">
        <f aca="false">AVERAGEIFS('Cleaned Ocean Waste Data'!$H$2:$H$128,'Cleaned Ocean Waste Data'!$A$2:$A$128,"&gt;="&amp;$A9,'Cleaned Ocean Waste Data'!$A$2:$A$128,"&lt;"&amp;($A9+10))</f>
        <v>6.5</v>
      </c>
      <c r="J9" s="4" t="n">
        <f aca="false">AVERAGEIFS('Cleaned Ocean Waste Data'!$L$2:$L$128,'Cleaned Ocean Waste Data'!$A$2:$A$128,"&gt;="&amp;$A9,'Cleaned Ocean Waste Data'!$A$2:$A$128,"&lt;"&amp;($A9+10))</f>
        <v>15.9611190816716</v>
      </c>
      <c r="K9" s="5" t="n">
        <f aca="false">IF(H8=0,0,(H9-H8)/H8*100)</f>
        <v>59.5238095238095</v>
      </c>
    </row>
    <row r="10" customFormat="false" ht="15" hidden="false" customHeight="false" outlineLevel="0" collapsed="false">
      <c r="A10" s="3" t="n">
        <v>1960</v>
      </c>
      <c r="B10" s="3" t="n">
        <f aca="false">COUNTIFS('Cleaned Ocean Waste Data'!$A$2:$A$128,"&gt;="&amp;$A10,'Cleaned Ocean Waste Data'!$A$2:$A$128,"&lt;"&amp;($A10+10))</f>
        <v>10</v>
      </c>
      <c r="C10" s="4" t="n">
        <f aca="false">AVERAGEIFS('Cleaned Ocean Waste Data'!$B$2:$B$128,'Cleaned Ocean Waste Data'!$A$2:$A$128,"&gt;="&amp;$A10,'Cleaned Ocean Waste Data'!$A$2:$A$128,"&lt;"&amp;($A10+10))</f>
        <v>0.555</v>
      </c>
      <c r="D10" s="4" t="n">
        <f aca="false">AVERAGEIFS('Cleaned Ocean Waste Data'!$C$2:$C$128,'Cleaned Ocean Waste Data'!$A$2:$A$128,"&gt;="&amp;$A10,'Cleaned Ocean Waste Data'!$A$2:$A$128,"&lt;"&amp;($A10+10))</f>
        <v>0.075</v>
      </c>
      <c r="E10" s="4" t="n">
        <f aca="false">AVERAGEIFS('Cleaned Ocean Waste Data'!$D$2:$D$128,'Cleaned Ocean Waste Data'!$A$2:$A$128,"&gt;="&amp;$A10,'Cleaned Ocean Waste Data'!$A$2:$A$128,"&lt;"&amp;($A10+10))</f>
        <v>0.63</v>
      </c>
      <c r="F10" s="4" t="n">
        <f aca="false">AVERAGEIFS('Cleaned Ocean Waste Data'!$E$2:$E$128,'Cleaned Ocean Waste Data'!$A$2:$A$128,"&gt;="&amp;$A10,'Cleaned Ocean Waste Data'!$A$2:$A$128,"&lt;"&amp;($A10+10))</f>
        <v>0.147</v>
      </c>
      <c r="G10" s="4" t="n">
        <f aca="false">AVERAGEIFS('Cleaned Ocean Waste Data'!$F$2:$F$128,'Cleaned Ocean Waste Data'!$A$2:$A$128,"&gt;="&amp;$A10,'Cleaned Ocean Waste Data'!$A$2:$A$128,"&lt;"&amp;($A10+10))</f>
        <v>0.007</v>
      </c>
      <c r="H10" s="4" t="n">
        <f aca="false">AVERAGEIFS('Cleaned Ocean Waste Data'!$G$2:$G$128,'Cleaned Ocean Waste Data'!$A$2:$A$128,"&gt;="&amp;$A10,'Cleaned Ocean Waste Data'!$A$2:$A$128,"&lt;"&amp;($A10+10))</f>
        <v>1.113</v>
      </c>
      <c r="I10" s="4" t="n">
        <f aca="false">AVERAGEIFS('Cleaned Ocean Waste Data'!$H$2:$H$128,'Cleaned Ocean Waste Data'!$A$2:$A$128,"&gt;="&amp;$A10,'Cleaned Ocean Waste Data'!$A$2:$A$128,"&lt;"&amp;($A10+10))</f>
        <v>7.5</v>
      </c>
      <c r="J10" s="4" t="n">
        <f aca="false">AVERAGEIFS('Cleaned Ocean Waste Data'!$L$2:$L$128,'Cleaned Ocean Waste Data'!$A$2:$A$128,"&gt;="&amp;$A10,'Cleaned Ocean Waste Data'!$A$2:$A$128,"&lt;"&amp;($A10+10))</f>
        <v>11.7559926797989</v>
      </c>
      <c r="K10" s="5" t="n">
        <f aca="false">IF(H9=0,0,(H10-H9)/H9*100)</f>
        <v>66.1194029850746</v>
      </c>
    </row>
    <row r="11" customFormat="false" ht="15" hidden="false" customHeight="false" outlineLevel="0" collapsed="false">
      <c r="A11" s="3" t="n">
        <v>1970</v>
      </c>
      <c r="B11" s="3" t="n">
        <f aca="false">COUNTIFS('Cleaned Ocean Waste Data'!$A$2:$A$128,"&gt;="&amp;$A11,'Cleaned Ocean Waste Data'!$A$2:$A$128,"&lt;"&amp;($A11+10))</f>
        <v>10</v>
      </c>
      <c r="C11" s="4" t="n">
        <f aca="false">AVERAGEIFS('Cleaned Ocean Waste Data'!$B$2:$B$128,'Cleaned Ocean Waste Data'!$A$2:$A$128,"&gt;="&amp;$A11,'Cleaned Ocean Waste Data'!$A$2:$A$128,"&lt;"&amp;($A11+10))</f>
        <v>0.93</v>
      </c>
      <c r="D11" s="4" t="n">
        <f aca="false">AVERAGEIFS('Cleaned Ocean Waste Data'!$C$2:$C$128,'Cleaned Ocean Waste Data'!$A$2:$A$128,"&gt;="&amp;$A11,'Cleaned Ocean Waste Data'!$A$2:$A$128,"&lt;"&amp;($A11+10))</f>
        <v>0.085</v>
      </c>
      <c r="E11" s="4" t="n">
        <f aca="false">AVERAGEIFS('Cleaned Ocean Waste Data'!$D$2:$D$128,'Cleaned Ocean Waste Data'!$A$2:$A$128,"&gt;="&amp;$A11,'Cleaned Ocean Waste Data'!$A$2:$A$128,"&lt;"&amp;($A11+10))</f>
        <v>0.713</v>
      </c>
      <c r="F11" s="4" t="n">
        <f aca="false">AVERAGEIFS('Cleaned Ocean Waste Data'!$E$2:$E$128,'Cleaned Ocean Waste Data'!$A$2:$A$128,"&gt;="&amp;$A11,'Cleaned Ocean Waste Data'!$A$2:$A$128,"&lt;"&amp;($A11+10))</f>
        <v>0.17</v>
      </c>
      <c r="G11" s="4" t="n">
        <f aca="false">AVERAGEIFS('Cleaned Ocean Waste Data'!$F$2:$F$128,'Cleaned Ocean Waste Data'!$A$2:$A$128,"&gt;="&amp;$A11,'Cleaned Ocean Waste Data'!$A$2:$A$128,"&lt;"&amp;($A11+10))</f>
        <v>0.03</v>
      </c>
      <c r="H11" s="4" t="n">
        <f aca="false">AVERAGEIFS('Cleaned Ocean Waste Data'!$G$2:$G$128,'Cleaned Ocean Waste Data'!$A$2:$A$128,"&gt;="&amp;$A11,'Cleaned Ocean Waste Data'!$A$2:$A$128,"&lt;"&amp;($A11+10))</f>
        <v>1.558</v>
      </c>
      <c r="I11" s="4" t="n">
        <f aca="false">AVERAGEIFS('Cleaned Ocean Waste Data'!$H$2:$H$128,'Cleaned Ocean Waste Data'!$A$2:$A$128,"&gt;="&amp;$A11,'Cleaned Ocean Waste Data'!$A$2:$A$128,"&lt;"&amp;($A11+10))</f>
        <v>8.5</v>
      </c>
      <c r="J11" s="4" t="n">
        <f aca="false">AVERAGEIFS('Cleaned Ocean Waste Data'!$L$2:$L$128,'Cleaned Ocean Waste Data'!$A$2:$A$128,"&gt;="&amp;$A11,'Cleaned Ocean Waste Data'!$A$2:$A$128,"&lt;"&amp;($A11+10))</f>
        <v>9.86597693850587</v>
      </c>
      <c r="K11" s="5" t="n">
        <f aca="false">IF(H10=0,0,(H11-H10)/H10*100)</f>
        <v>39.9820305480683</v>
      </c>
    </row>
    <row r="12" customFormat="false" ht="15" hidden="false" customHeight="false" outlineLevel="0" collapsed="false">
      <c r="A12" s="3" t="n">
        <v>1980</v>
      </c>
      <c r="B12" s="3" t="n">
        <f aca="false">COUNTIFS('Cleaned Ocean Waste Data'!$A$2:$A$128,"&gt;="&amp;$A12,'Cleaned Ocean Waste Data'!$A$2:$A$128,"&lt;"&amp;($A12+10))</f>
        <v>10</v>
      </c>
      <c r="C12" s="4" t="n">
        <f aca="false">AVERAGEIFS('Cleaned Ocean Waste Data'!$B$2:$B$128,'Cleaned Ocean Waste Data'!$A$2:$A$128,"&gt;="&amp;$A12,'Cleaned Ocean Waste Data'!$A$2:$A$128,"&lt;"&amp;($A12+10))</f>
        <v>2.1</v>
      </c>
      <c r="D12" s="4" t="n">
        <f aca="false">AVERAGEIFS('Cleaned Ocean Waste Data'!$C$2:$C$128,'Cleaned Ocean Waste Data'!$A$2:$A$128,"&gt;="&amp;$A12,'Cleaned Ocean Waste Data'!$A$2:$A$128,"&lt;"&amp;($A12+10))</f>
        <v>0.178</v>
      </c>
      <c r="E12" s="4" t="n">
        <f aca="false">AVERAGEIFS('Cleaned Ocean Waste Data'!$D$2:$D$128,'Cleaned Ocean Waste Data'!$A$2:$A$128,"&gt;="&amp;$A12,'Cleaned Ocean Waste Data'!$A$2:$A$128,"&lt;"&amp;($A12+10))</f>
        <v>1.025</v>
      </c>
      <c r="F12" s="4" t="n">
        <f aca="false">AVERAGEIFS('Cleaned Ocean Waste Data'!$E$2:$E$128,'Cleaned Ocean Waste Data'!$A$2:$A$128,"&gt;="&amp;$A12,'Cleaned Ocean Waste Data'!$A$2:$A$128,"&lt;"&amp;($A12+10))</f>
        <v>0.425</v>
      </c>
      <c r="G12" s="4" t="n">
        <f aca="false">AVERAGEIFS('Cleaned Ocean Waste Data'!$F$2:$F$128,'Cleaned Ocean Waste Data'!$A$2:$A$128,"&gt;="&amp;$A12,'Cleaned Ocean Waste Data'!$A$2:$A$128,"&lt;"&amp;($A12+10))</f>
        <v>0.115</v>
      </c>
      <c r="H12" s="4" t="n">
        <f aca="false">AVERAGEIFS('Cleaned Ocean Waste Data'!$G$2:$G$128,'Cleaned Ocean Waste Data'!$A$2:$A$128,"&gt;="&amp;$A12,'Cleaned Ocean Waste Data'!$A$2:$A$128,"&lt;"&amp;($A12+10))</f>
        <v>2.878</v>
      </c>
      <c r="I12" s="4" t="n">
        <f aca="false">AVERAGEIFS('Cleaned Ocean Waste Data'!$H$2:$H$128,'Cleaned Ocean Waste Data'!$A$2:$A$128,"&gt;="&amp;$A12,'Cleaned Ocean Waste Data'!$A$2:$A$128,"&lt;"&amp;($A12+10))</f>
        <v>12.9</v>
      </c>
      <c r="J12" s="4" t="n">
        <f aca="false">AVERAGEIFS('Cleaned Ocean Waste Data'!$L$2:$L$128,'Cleaned Ocean Waste Data'!$A$2:$A$128,"&gt;="&amp;$A12,'Cleaned Ocean Waste Data'!$A$2:$A$128,"&lt;"&amp;($A12+10))</f>
        <v>12.5178612276369</v>
      </c>
      <c r="K12" s="5" t="n">
        <f aca="false">IF(H11=0,0,(H12-H11)/H11*100)</f>
        <v>84.7240051347882</v>
      </c>
    </row>
    <row r="13" customFormat="false" ht="15" hidden="false" customHeight="false" outlineLevel="0" collapsed="false">
      <c r="A13" s="3" t="n">
        <v>1990</v>
      </c>
      <c r="B13" s="3" t="n">
        <f aca="false">COUNTIFS('Cleaned Ocean Waste Data'!$A$2:$A$128,"&gt;="&amp;$A13,'Cleaned Ocean Waste Data'!$A$2:$A$128,"&lt;"&amp;($A13+10))</f>
        <v>10</v>
      </c>
      <c r="C13" s="4" t="n">
        <f aca="false">AVERAGEIFS('Cleaned Ocean Waste Data'!$B$2:$B$128,'Cleaned Ocean Waste Data'!$A$2:$A$128,"&gt;="&amp;$A13,'Cleaned Ocean Waste Data'!$A$2:$A$128,"&lt;"&amp;($A13+10))</f>
        <v>4.1</v>
      </c>
      <c r="D13" s="4" t="n">
        <f aca="false">AVERAGEIFS('Cleaned Ocean Waste Data'!$C$2:$C$128,'Cleaned Ocean Waste Data'!$A$2:$A$128,"&gt;="&amp;$A13,'Cleaned Ocean Waste Data'!$A$2:$A$128,"&lt;"&amp;($A13+10))</f>
        <v>0.355</v>
      </c>
      <c r="E13" s="4" t="n">
        <f aca="false">AVERAGEIFS('Cleaned Ocean Waste Data'!$D$2:$D$128,'Cleaned Ocean Waste Data'!$A$2:$A$128,"&gt;="&amp;$A13,'Cleaned Ocean Waste Data'!$A$2:$A$128,"&lt;"&amp;($A13+10))</f>
        <v>1.525</v>
      </c>
      <c r="F13" s="4" t="n">
        <f aca="false">AVERAGEIFS('Cleaned Ocean Waste Data'!$E$2:$E$128,'Cleaned Ocean Waste Data'!$A$2:$A$128,"&gt;="&amp;$A13,'Cleaned Ocean Waste Data'!$A$2:$A$128,"&lt;"&amp;($A13+10))</f>
        <v>0.925</v>
      </c>
      <c r="G13" s="4" t="n">
        <f aca="false">AVERAGEIFS('Cleaned Ocean Waste Data'!$F$2:$F$128,'Cleaned Ocean Waste Data'!$A$2:$A$128,"&gt;="&amp;$A13,'Cleaned Ocean Waste Data'!$A$2:$A$128,"&lt;"&amp;($A13+10))</f>
        <v>0.265</v>
      </c>
      <c r="H13" s="4" t="n">
        <f aca="false">AVERAGEIFS('Cleaned Ocean Waste Data'!$G$2:$G$128,'Cleaned Ocean Waste Data'!$A$2:$A$128,"&gt;="&amp;$A13,'Cleaned Ocean Waste Data'!$A$2:$A$128,"&lt;"&amp;($A13+10))</f>
        <v>5.055</v>
      </c>
      <c r="I13" s="4" t="n">
        <f aca="false">AVERAGEIFS('Cleaned Ocean Waste Data'!$H$2:$H$128,'Cleaned Ocean Waste Data'!$A$2:$A$128,"&gt;="&amp;$A13,'Cleaned Ocean Waste Data'!$A$2:$A$128,"&lt;"&amp;($A13+10))</f>
        <v>19.1</v>
      </c>
      <c r="J13" s="4" t="n">
        <f aca="false">AVERAGEIFS('Cleaned Ocean Waste Data'!$L$2:$L$128,'Cleaned Ocean Waste Data'!$A$2:$A$128,"&gt;="&amp;$A13,'Cleaned Ocean Waste Data'!$A$2:$A$128,"&lt;"&amp;($A13+10))</f>
        <v>15.4133210741704</v>
      </c>
      <c r="K13" s="5" t="n">
        <f aca="false">IF(H12=0,0,(H13-H12)/H12*100)</f>
        <v>75.6428075052119</v>
      </c>
    </row>
    <row r="14" customFormat="false" ht="15" hidden="false" customHeight="false" outlineLevel="0" collapsed="false">
      <c r="A14" s="3" t="n">
        <v>2000</v>
      </c>
      <c r="B14" s="3" t="n">
        <f aca="false">COUNTIFS('Cleaned Ocean Waste Data'!$A$2:$A$128,"&gt;="&amp;$A14,'Cleaned Ocean Waste Data'!$A$2:$A$128,"&lt;"&amp;($A14+10))</f>
        <v>10</v>
      </c>
      <c r="C14" s="4" t="n">
        <f aca="false">AVERAGEIFS('Cleaned Ocean Waste Data'!$B$2:$B$128,'Cleaned Ocean Waste Data'!$A$2:$A$128,"&gt;="&amp;$A14,'Cleaned Ocean Waste Data'!$A$2:$A$128,"&lt;"&amp;($A14+10))</f>
        <v>6.41</v>
      </c>
      <c r="D14" s="4" t="n">
        <f aca="false">AVERAGEIFS('Cleaned Ocean Waste Data'!$C$2:$C$128,'Cleaned Ocean Waste Data'!$A$2:$A$128,"&gt;="&amp;$A14,'Cleaned Ocean Waste Data'!$A$2:$A$128,"&lt;"&amp;($A14+10))</f>
        <v>0.542</v>
      </c>
      <c r="E14" s="4" t="n">
        <f aca="false">AVERAGEIFS('Cleaned Ocean Waste Data'!$D$2:$D$128,'Cleaned Ocean Waste Data'!$A$2:$A$128,"&gt;="&amp;$A14,'Cleaned Ocean Waste Data'!$A$2:$A$128,"&lt;"&amp;($A14+10))</f>
        <v>2.025</v>
      </c>
      <c r="F14" s="4" t="n">
        <f aca="false">AVERAGEIFS('Cleaned Ocean Waste Data'!$E$2:$E$128,'Cleaned Ocean Waste Data'!$A$2:$A$128,"&gt;="&amp;$A14,'Cleaned Ocean Waste Data'!$A$2:$A$128,"&lt;"&amp;($A14+10))</f>
        <v>1.466</v>
      </c>
      <c r="G14" s="4" t="n">
        <f aca="false">AVERAGEIFS('Cleaned Ocean Waste Data'!$F$2:$F$128,'Cleaned Ocean Waste Data'!$A$2:$A$128,"&gt;="&amp;$A14,'Cleaned Ocean Waste Data'!$A$2:$A$128,"&lt;"&amp;($A14+10))</f>
        <v>0.487</v>
      </c>
      <c r="H14" s="4" t="n">
        <f aca="false">AVERAGEIFS('Cleaned Ocean Waste Data'!$G$2:$G$128,'Cleaned Ocean Waste Data'!$A$2:$A$128,"&gt;="&amp;$A14,'Cleaned Ocean Waste Data'!$A$2:$A$128,"&lt;"&amp;($A14+10))</f>
        <v>7.511</v>
      </c>
      <c r="I14" s="4" t="n">
        <f aca="false">AVERAGEIFS('Cleaned Ocean Waste Data'!$H$2:$H$128,'Cleaned Ocean Waste Data'!$A$2:$A$128,"&gt;="&amp;$A14,'Cleaned Ocean Waste Data'!$A$2:$A$128,"&lt;"&amp;($A14+10))</f>
        <v>25.7</v>
      </c>
      <c r="J14" s="4" t="n">
        <f aca="false">AVERAGEIFS('Cleaned Ocean Waste Data'!$L$2:$L$128,'Cleaned Ocean Waste Data'!$A$2:$A$128,"&gt;="&amp;$A14,'Cleaned Ocean Waste Data'!$A$2:$A$128,"&lt;"&amp;($A14+10))</f>
        <v>16.3134114394007</v>
      </c>
      <c r="K14" s="5" t="n">
        <f aca="false">IF(H13=0,0,(H14-H13)/H13*100)</f>
        <v>48.5855588526212</v>
      </c>
    </row>
    <row r="15" customFormat="false" ht="15" hidden="false" customHeight="false" outlineLevel="0" collapsed="false">
      <c r="A15" s="3" t="n">
        <v>2010</v>
      </c>
      <c r="B15" s="3" t="n">
        <f aca="false">COUNTIFS('Cleaned Ocean Waste Data'!$A$2:$A$128,"&gt;="&amp;$A15,'Cleaned Ocean Waste Data'!$A$2:$A$128,"&lt;"&amp;($A15+10))</f>
        <v>10</v>
      </c>
      <c r="C15" s="4" t="n">
        <f aca="false">AVERAGEIFS('Cleaned Ocean Waste Data'!$B$2:$B$128,'Cleaned Ocean Waste Data'!$A$2:$A$128,"&gt;="&amp;$A15,'Cleaned Ocean Waste Data'!$A$2:$A$128,"&lt;"&amp;($A15+10))</f>
        <v>10.21</v>
      </c>
      <c r="D15" s="4" t="n">
        <f aca="false">AVERAGEIFS('Cleaned Ocean Waste Data'!$C$2:$C$128,'Cleaned Ocean Waste Data'!$A$2:$A$128,"&gt;="&amp;$A15,'Cleaned Ocean Waste Data'!$A$2:$A$128,"&lt;"&amp;($A15+10))</f>
        <v>0.808</v>
      </c>
      <c r="E15" s="4" t="n">
        <f aca="false">AVERAGEIFS('Cleaned Ocean Waste Data'!$D$2:$D$128,'Cleaned Ocean Waste Data'!$A$2:$A$128,"&gt;="&amp;$A15,'Cleaned Ocean Waste Data'!$A$2:$A$128,"&lt;"&amp;($A15+10))</f>
        <v>2.525</v>
      </c>
      <c r="F15" s="4" t="n">
        <f aca="false">AVERAGEIFS('Cleaned Ocean Waste Data'!$E$2:$E$128,'Cleaned Ocean Waste Data'!$A$2:$A$128,"&gt;="&amp;$A15,'Cleaned Ocean Waste Data'!$A$2:$A$128,"&lt;"&amp;($A15+10))</f>
        <v>2.297</v>
      </c>
      <c r="G15" s="4" t="n">
        <f aca="false">AVERAGEIFS('Cleaned Ocean Waste Data'!$F$2:$F$128,'Cleaned Ocean Waste Data'!$A$2:$A$128,"&gt;="&amp;$A15,'Cleaned Ocean Waste Data'!$A$2:$A$128,"&lt;"&amp;($A15+10))</f>
        <v>0.906</v>
      </c>
      <c r="H15" s="4" t="n">
        <f aca="false">AVERAGEIFS('Cleaned Ocean Waste Data'!$G$2:$G$128,'Cleaned Ocean Waste Data'!$A$2:$A$128,"&gt;="&amp;$A15,'Cleaned Ocean Waste Data'!$A$2:$A$128,"&lt;"&amp;($A15+10))</f>
        <v>11.246</v>
      </c>
      <c r="I15" s="4" t="n">
        <f aca="false">AVERAGEIFS('Cleaned Ocean Waste Data'!$H$2:$H$128,'Cleaned Ocean Waste Data'!$A$2:$A$128,"&gt;="&amp;$A15,'Cleaned Ocean Waste Data'!$A$2:$A$128,"&lt;"&amp;($A15+10))</f>
        <v>32.4</v>
      </c>
      <c r="J15" s="4" t="n">
        <f aca="false">AVERAGEIFS('Cleaned Ocean Waste Data'!$L$2:$L$128,'Cleaned Ocean Waste Data'!$A$2:$A$128,"&gt;="&amp;$A15,'Cleaned Ocean Waste Data'!$A$2:$A$128,"&lt;"&amp;($A15+10))</f>
        <v>16.9390438014869</v>
      </c>
      <c r="K15" s="5" t="n">
        <f aca="false">IF(H14=0,0,(H15-H14)/H14*100)</f>
        <v>49.7270669684463</v>
      </c>
    </row>
    <row r="16" customFormat="false" ht="15" hidden="false" customHeight="false" outlineLevel="0" collapsed="false">
      <c r="A16" s="3" t="n">
        <v>2020</v>
      </c>
      <c r="B16" s="3" t="n">
        <f aca="false">COUNTIFS('Cleaned Ocean Waste Data'!$A$2:$A$128,"&gt;="&amp;$A16,'Cleaned Ocean Waste Data'!$A$2:$A$128,"&lt;"&amp;($A16+10))</f>
        <v>7</v>
      </c>
      <c r="C16" s="4" t="n">
        <f aca="false">AVERAGEIFS('Cleaned Ocean Waste Data'!$B$2:$B$128,'Cleaned Ocean Waste Data'!$A$2:$A$128,"&gt;="&amp;$A16,'Cleaned Ocean Waste Data'!$A$2:$A$128,"&lt;"&amp;($A16+10))</f>
        <v>14.4714285714286</v>
      </c>
      <c r="D16" s="4" t="n">
        <f aca="false">AVERAGEIFS('Cleaned Ocean Waste Data'!$C$2:$C$128,'Cleaned Ocean Waste Data'!$A$2:$A$128,"&gt;="&amp;$A16,'Cleaned Ocean Waste Data'!$A$2:$A$128,"&lt;"&amp;($A16+10))</f>
        <v>1.03285714285714</v>
      </c>
      <c r="E16" s="4" t="n">
        <f aca="false">AVERAGEIFS('Cleaned Ocean Waste Data'!$D$2:$D$128,'Cleaned Ocean Waste Data'!$A$2:$A$128,"&gt;="&amp;$A16,'Cleaned Ocean Waste Data'!$A$2:$A$128,"&lt;"&amp;($A16+10))</f>
        <v>2.95</v>
      </c>
      <c r="F16" s="4" t="n">
        <f aca="false">AVERAGEIFS('Cleaned Ocean Waste Data'!$E$2:$E$128,'Cleaned Ocean Waste Data'!$A$2:$A$128,"&gt;="&amp;$A16,'Cleaned Ocean Waste Data'!$A$2:$A$128,"&lt;"&amp;($A16+10))</f>
        <v>3.19142857142857</v>
      </c>
      <c r="G16" s="4" t="n">
        <f aca="false">AVERAGEIFS('Cleaned Ocean Waste Data'!$F$2:$F$128,'Cleaned Ocean Waste Data'!$A$2:$A$128,"&gt;="&amp;$A16,'Cleaned Ocean Waste Data'!$A$2:$A$128,"&lt;"&amp;($A16+10))</f>
        <v>1.30285714285714</v>
      </c>
      <c r="H16" s="4" t="n">
        <f aca="false">AVERAGEIFS('Cleaned Ocean Waste Data'!$G$2:$G$128,'Cleaned Ocean Waste Data'!$A$2:$A$128,"&gt;="&amp;$A16,'Cleaned Ocean Waste Data'!$A$2:$A$128,"&lt;"&amp;($A16+10))</f>
        <v>15.9585714285714</v>
      </c>
      <c r="I16" s="4" t="n">
        <f aca="false">AVERAGEIFS('Cleaned Ocean Waste Data'!$H$2:$H$128,'Cleaned Ocean Waste Data'!$A$2:$A$128,"&gt;="&amp;$A16,'Cleaned Ocean Waste Data'!$A$2:$A$128,"&lt;"&amp;($A16+10))</f>
        <v>37.2857142857143</v>
      </c>
      <c r="J16" s="4" t="n">
        <f aca="false">AVERAGEIFS('Cleaned Ocean Waste Data'!$L$2:$L$128,'Cleaned Ocean Waste Data'!$A$2:$A$128,"&gt;="&amp;$A16,'Cleaned Ocean Waste Data'!$A$2:$A$128,"&lt;"&amp;($A16+10))</f>
        <v>17.2922897957613</v>
      </c>
      <c r="K16" s="5" t="n">
        <f aca="false">IF(H15=0,0,(H16-H15)/H15*100)</f>
        <v>41.9044231599807</v>
      </c>
    </row>
    <row r="18" customFormat="false" ht="15" hidden="false" customHeight="false" outlineLevel="0" collapsed="false">
      <c r="A18" s="1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8" t="s">
        <v>42</v>
      </c>
    </row>
    <row r="3" customFormat="false" ht="15" hidden="false" customHeight="false" outlineLevel="0" collapsed="false">
      <c r="A3" s="13" t="s">
        <v>19</v>
      </c>
      <c r="B3" s="13" t="s">
        <v>43</v>
      </c>
      <c r="C3" s="13" t="s">
        <v>44</v>
      </c>
    </row>
    <row r="4" customFormat="false" ht="15" hidden="false" customHeight="false" outlineLevel="0" collapsed="false">
      <c r="A4" s="14" t="s">
        <v>45</v>
      </c>
      <c r="B4" s="15" t="n">
        <f aca="false">'Cleaned Ocean Waste Data'!G2</f>
        <v>0.11</v>
      </c>
      <c r="C4" s="14" t="s">
        <v>46</v>
      </c>
    </row>
    <row r="5" customFormat="false" ht="15" hidden="false" customHeight="false" outlineLevel="0" collapsed="false">
      <c r="A5" s="14" t="s">
        <v>47</v>
      </c>
      <c r="B5" s="15" t="n">
        <f aca="false">'Cleaned Ocean Waste Data'!G128</f>
        <v>16.67</v>
      </c>
      <c r="C5" s="14" t="s">
        <v>48</v>
      </c>
    </row>
    <row r="6" customFormat="false" ht="15" hidden="false" customHeight="false" outlineLevel="0" collapsed="false">
      <c r="A6" s="14" t="s">
        <v>49</v>
      </c>
      <c r="B6" s="15" t="n">
        <f aca="false">'Summary Statistics'!F9</f>
        <v>17.64</v>
      </c>
      <c r="C6" s="14" t="s">
        <v>50</v>
      </c>
    </row>
    <row r="7" customFormat="false" ht="15" hidden="false" customHeight="false" outlineLevel="0" collapsed="false">
      <c r="A7" s="14" t="s">
        <v>51</v>
      </c>
      <c r="B7" s="16" t="n">
        <f aca="false">'Summary Statistics'!G9</f>
        <v>2025</v>
      </c>
      <c r="C7" s="14" t="s">
        <v>52</v>
      </c>
    </row>
    <row r="8" customFormat="false" ht="15" hidden="false" customHeight="false" outlineLevel="0" collapsed="false">
      <c r="A8" s="14" t="s">
        <v>53</v>
      </c>
      <c r="B8" s="15" t="n">
        <f aca="false">'Cleaned Ocean Waste Data'!B52</f>
        <v>0.01</v>
      </c>
      <c r="C8" s="14" t="s">
        <v>54</v>
      </c>
    </row>
    <row r="9" customFormat="false" ht="15" hidden="false" customHeight="false" outlineLevel="0" collapsed="false">
      <c r="A9" s="14" t="s">
        <v>55</v>
      </c>
      <c r="B9" s="15" t="n">
        <f aca="false">'Cleaned Ocean Waste Data'!B128</f>
        <v>16</v>
      </c>
      <c r="C9" s="14" t="s">
        <v>56</v>
      </c>
    </row>
    <row r="10" customFormat="false" ht="15" hidden="false" customHeight="false" outlineLevel="0" collapsed="false">
      <c r="A10" s="14" t="s">
        <v>57</v>
      </c>
      <c r="B10" s="15" t="n">
        <f aca="false">'Cleaned Ocean Waste Data'!O128</f>
        <v>79.1295746785361</v>
      </c>
      <c r="C10" s="14" t="s">
        <v>58</v>
      </c>
    </row>
    <row r="11" customFormat="false" ht="15" hidden="false" customHeight="false" outlineLevel="0" collapsed="false">
      <c r="A11" s="14" t="s">
        <v>59</v>
      </c>
      <c r="B11" s="15" t="n">
        <f aca="false">'Cleaned Ocean Waste Data'!L128</f>
        <v>17.5568743818002</v>
      </c>
      <c r="C11" s="14" t="s">
        <v>60</v>
      </c>
    </row>
    <row r="12" customFormat="false" ht="15" hidden="false" customHeight="false" outlineLevel="0" collapsed="false">
      <c r="A12" s="14" t="s">
        <v>61</v>
      </c>
      <c r="B12" s="15" t="n">
        <f aca="false">'Cleaned Ocean Waste Data'!M128</f>
        <v>41.4084507042254</v>
      </c>
      <c r="C12" s="14" t="s">
        <v>62</v>
      </c>
    </row>
    <row r="13" customFormat="false" ht="15" hidden="false" customHeight="false" outlineLevel="0" collapsed="false">
      <c r="A13" s="14" t="s">
        <v>63</v>
      </c>
      <c r="B13" s="15" t="str">
        <f aca="false">'Cleaned Ocean Waste Data'!H2&amp;" -&gt; "&amp;'Cleaned Ocean Waste Data'!H128</f>
        <v>1 -&gt; 40</v>
      </c>
      <c r="C13" s="14" t="s">
        <v>64</v>
      </c>
    </row>
    <row r="14" customFormat="false" ht="15" hidden="false" customHeight="false" outlineLevel="0" collapsed="false">
      <c r="A14" s="14" t="s">
        <v>65</v>
      </c>
      <c r="B14" s="15" t="n">
        <f aca="false">'Summary Statistics'!I4</f>
        <v>0.998815038756143</v>
      </c>
      <c r="C14" s="14" t="s">
        <v>66</v>
      </c>
    </row>
    <row r="15" customFormat="false" ht="15" hidden="false" customHeight="false" outlineLevel="0" collapsed="false">
      <c r="A15" s="14" t="s">
        <v>67</v>
      </c>
      <c r="B15" s="15" t="n">
        <f aca="false">'Summary Statistics'!I10</f>
        <v>0.977849785627447</v>
      </c>
      <c r="C15" s="14" t="s">
        <v>68</v>
      </c>
    </row>
    <row r="16" customFormat="false" ht="15" hidden="false" customHeight="false" outlineLevel="0" collapsed="false">
      <c r="A16" s="14" t="s">
        <v>69</v>
      </c>
      <c r="B16" s="15" t="n">
        <f aca="false">COUNTIF('Cleaned Ocean Waste Data'!K2:K128,"&gt;0.5")+COUNTIF('Cleaned Ocean Waste Data'!K2:K128,"&lt;-0.5")</f>
        <v>4</v>
      </c>
      <c r="C16" s="14" t="s">
        <v>70</v>
      </c>
    </row>
    <row r="18" customFormat="false" ht="15" hidden="false" customHeight="false" outlineLevel="0" collapsed="false">
      <c r="A18" s="17" t="s">
        <v>71</v>
      </c>
    </row>
    <row r="19" customFormat="false" ht="15" hidden="false" customHeight="false" outlineLevel="0" collapsed="false">
      <c r="A19" s="3" t="s">
        <v>72</v>
      </c>
    </row>
    <row r="20" customFormat="false" ht="15" hidden="false" customHeight="false" outlineLevel="0" collapsed="false">
      <c r="A20" s="3" t="s">
        <v>73</v>
      </c>
    </row>
    <row r="21" customFormat="false" ht="15" hidden="false" customHeight="false" outlineLevel="0" collapsed="false">
      <c r="A21" s="3" t="s">
        <v>74</v>
      </c>
    </row>
    <row r="22" customFormat="false" ht="15" hidden="false" customHeight="false" outlineLevel="0" collapsed="false">
      <c r="A22" s="3" t="s">
        <v>75</v>
      </c>
    </row>
    <row r="23" customFormat="false" ht="15" hidden="false" customHeight="false" outlineLevel="0" collapsed="false">
      <c r="A23" s="3" t="s">
        <v>76</v>
      </c>
    </row>
    <row r="24" customFormat="false" ht="15" hidden="false" customHeight="false" outlineLevel="0" collapsed="false">
      <c r="A24" s="17" t="s">
        <v>77</v>
      </c>
    </row>
    <row r="25" customFormat="false" ht="15" hidden="false" customHeight="false" outlineLevel="0" collapsed="false">
      <c r="A25" s="3" t="s">
        <v>78</v>
      </c>
    </row>
    <row r="26" customFormat="false" ht="15" hidden="false" customHeight="false" outlineLevel="0" collapsed="false">
      <c r="A26" s="3" t="s">
        <v>79</v>
      </c>
    </row>
    <row r="27" customFormat="false" ht="15" hidden="false" customHeight="false" outlineLevel="0" collapsed="false">
      <c r="A27" s="3" t="s">
        <v>80</v>
      </c>
    </row>
    <row r="28" customFormat="false" ht="15" hidden="false" customHeight="false" outlineLevel="0" collapsed="false">
      <c r="A28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2026-10-13T06:37:02Z</dcterms:created>
  <dc:creator>openpyxl</dc:creator>
  <dc:description/>
  <dc:language>en-US</dc:language>
  <cp:lastModifiedBy/>
  <dcterms:modified xsi:type="dcterms:W3CDTF">2026-10-13T07:34:42Z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